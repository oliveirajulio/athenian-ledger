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inopc\Project\athenian-ledger\public\"/>
    </mc:Choice>
  </mc:AlternateContent>
  <xr:revisionPtr revIDLastSave="0" documentId="13_ncr:1_{23979337-B031-4304-B611-3597FBED5917}" xr6:coauthVersionLast="47" xr6:coauthVersionMax="47" xr10:uidLastSave="{00000000-0000-0000-0000-000000000000}"/>
  <bookViews>
    <workbookView xWindow="-120" yWindow="-120" windowWidth="20640" windowHeight="11160" xr2:uid="{D6149B58-E51D-4AAB-925C-751845EC0826}"/>
  </bookViews>
  <sheets>
    <sheet name="Tabelas" sheetId="5" r:id="rId1"/>
    <sheet name="Lista" sheetId="1" r:id="rId2"/>
    <sheet name="Extrato" sheetId="2" r:id="rId3"/>
    <sheet name="Detail1" sheetId="8" r:id="rId4"/>
    <sheet name="Detail2" sheetId="9" r:id="rId5"/>
    <sheet name="Análise" sheetId="6" r:id="rId6"/>
    <sheet name="Painel" sheetId="7" r:id="rId7"/>
  </sheets>
  <definedNames>
    <definedName name="DESCRICAO">Tabela1[[DESCRIÇÃO ]]</definedName>
    <definedName name="DESCRIÇÃO">Tabela1[[DESCRIÇÃO ]]</definedName>
    <definedName name="SegmentaçãodeDados_ANO">#N/A</definedName>
    <definedName name="SegmentaçãodeDados_ANO1">#N/A</definedName>
    <definedName name="SegmentaçãodeDados_CATEGORIA">#N/A</definedName>
    <definedName name="SegmentaçãodeDados_DESCRICAO">#N/A</definedName>
    <definedName name="SegmentaçãodeDados_MÊS1">#N/A</definedName>
    <definedName name="SegmentaçãodeDados_TRI1">#N/A</definedName>
  </definedNames>
  <calcPr calcId="191029"/>
  <pivotCaches>
    <pivotCache cacheId="9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9" i="2" l="1"/>
  <c r="G139" i="2"/>
  <c r="H139" i="2"/>
  <c r="I139" i="2"/>
  <c r="J139" i="2"/>
  <c r="F138" i="2"/>
  <c r="G138" i="2"/>
  <c r="H138" i="2"/>
  <c r="I138" i="2"/>
  <c r="J138" i="2"/>
  <c r="F3" i="2"/>
  <c r="G3" i="2"/>
  <c r="H3" i="2"/>
  <c r="I3" i="2"/>
  <c r="J3" i="2"/>
  <c r="F4" i="2"/>
  <c r="G4" i="2"/>
  <c r="H4" i="2"/>
  <c r="I4" i="2"/>
  <c r="J4" i="2"/>
  <c r="F5" i="2"/>
  <c r="G5" i="2"/>
  <c r="H5" i="2"/>
  <c r="I5" i="2"/>
  <c r="J5" i="2"/>
  <c r="F6" i="2"/>
  <c r="G6" i="2"/>
  <c r="H6" i="2"/>
  <c r="I6" i="2"/>
  <c r="J6" i="2"/>
  <c r="F7" i="2"/>
  <c r="G7" i="2"/>
  <c r="H7" i="2"/>
  <c r="I7" i="2"/>
  <c r="J7" i="2"/>
  <c r="F8" i="2"/>
  <c r="G8" i="2"/>
  <c r="H8" i="2"/>
  <c r="I8" i="2"/>
  <c r="J8" i="2"/>
  <c r="F9" i="2"/>
  <c r="G9" i="2"/>
  <c r="H9" i="2"/>
  <c r="I9" i="2"/>
  <c r="J9" i="2"/>
  <c r="F10" i="2"/>
  <c r="G10" i="2"/>
  <c r="H10" i="2"/>
  <c r="I10" i="2"/>
  <c r="J10" i="2"/>
  <c r="F11" i="2"/>
  <c r="G11" i="2"/>
  <c r="H11" i="2"/>
  <c r="I11" i="2"/>
  <c r="J11" i="2"/>
  <c r="F12" i="2"/>
  <c r="G12" i="2"/>
  <c r="H12" i="2"/>
  <c r="I12" i="2"/>
  <c r="J12" i="2"/>
  <c r="F13" i="2"/>
  <c r="G13" i="2"/>
  <c r="H13" i="2"/>
  <c r="I13" i="2"/>
  <c r="J13" i="2"/>
  <c r="F14" i="2"/>
  <c r="G14" i="2"/>
  <c r="H14" i="2"/>
  <c r="I14" i="2"/>
  <c r="J14" i="2"/>
  <c r="F15" i="2"/>
  <c r="G15" i="2"/>
  <c r="H15" i="2"/>
  <c r="I15" i="2"/>
  <c r="J15" i="2"/>
  <c r="F16" i="2"/>
  <c r="G16" i="2"/>
  <c r="H16" i="2"/>
  <c r="I16" i="2"/>
  <c r="J16" i="2"/>
  <c r="F17" i="2"/>
  <c r="G17" i="2"/>
  <c r="H17" i="2"/>
  <c r="I17" i="2"/>
  <c r="J17" i="2"/>
  <c r="F18" i="2"/>
  <c r="G18" i="2"/>
  <c r="H18" i="2"/>
  <c r="I18" i="2"/>
  <c r="J18" i="2"/>
  <c r="F19" i="2"/>
  <c r="G19" i="2"/>
  <c r="H19" i="2"/>
  <c r="I19" i="2"/>
  <c r="J19" i="2"/>
  <c r="F20" i="2"/>
  <c r="G20" i="2"/>
  <c r="H20" i="2"/>
  <c r="I20" i="2"/>
  <c r="J20" i="2"/>
  <c r="F21" i="2"/>
  <c r="G21" i="2"/>
  <c r="H21" i="2"/>
  <c r="I21" i="2"/>
  <c r="J21" i="2"/>
  <c r="F22" i="2"/>
  <c r="G22" i="2"/>
  <c r="H22" i="2"/>
  <c r="I22" i="2"/>
  <c r="J22" i="2"/>
  <c r="F23" i="2"/>
  <c r="G23" i="2"/>
  <c r="H23" i="2"/>
  <c r="I23" i="2"/>
  <c r="J23" i="2"/>
  <c r="F24" i="2"/>
  <c r="G24" i="2"/>
  <c r="H24" i="2"/>
  <c r="I24" i="2"/>
  <c r="J24" i="2"/>
  <c r="F25" i="2"/>
  <c r="G25" i="2"/>
  <c r="H25" i="2"/>
  <c r="I25" i="2"/>
  <c r="J25" i="2"/>
  <c r="F26" i="2"/>
  <c r="G26" i="2"/>
  <c r="H26" i="2"/>
  <c r="I26" i="2"/>
  <c r="J26" i="2"/>
  <c r="F27" i="2"/>
  <c r="G27" i="2"/>
  <c r="H27" i="2"/>
  <c r="I27" i="2"/>
  <c r="J27" i="2"/>
  <c r="F28" i="2"/>
  <c r="G28" i="2"/>
  <c r="H28" i="2"/>
  <c r="I28" i="2"/>
  <c r="J28" i="2"/>
  <c r="F29" i="2"/>
  <c r="G29" i="2"/>
  <c r="H29" i="2"/>
  <c r="I29" i="2"/>
  <c r="J29" i="2"/>
  <c r="F30" i="2"/>
  <c r="G30" i="2"/>
  <c r="H30" i="2"/>
  <c r="I30" i="2"/>
  <c r="J30" i="2"/>
  <c r="F31" i="2"/>
  <c r="G31" i="2"/>
  <c r="H31" i="2"/>
  <c r="I31" i="2"/>
  <c r="J31" i="2"/>
  <c r="F32" i="2"/>
  <c r="G32" i="2"/>
  <c r="H32" i="2"/>
  <c r="I32" i="2"/>
  <c r="J32" i="2"/>
  <c r="F33" i="2"/>
  <c r="G33" i="2"/>
  <c r="H33" i="2"/>
  <c r="I33" i="2"/>
  <c r="J33" i="2"/>
  <c r="F34" i="2"/>
  <c r="G34" i="2"/>
  <c r="H34" i="2"/>
  <c r="I34" i="2"/>
  <c r="J34" i="2"/>
  <c r="F35" i="2"/>
  <c r="G35" i="2"/>
  <c r="H35" i="2"/>
  <c r="I35" i="2"/>
  <c r="J35" i="2"/>
  <c r="F36" i="2"/>
  <c r="G36" i="2"/>
  <c r="H36" i="2"/>
  <c r="I36" i="2"/>
  <c r="J36" i="2"/>
  <c r="F37" i="2"/>
  <c r="G37" i="2"/>
  <c r="H37" i="2"/>
  <c r="I37" i="2"/>
  <c r="J37" i="2"/>
  <c r="F38" i="2"/>
  <c r="G38" i="2"/>
  <c r="H38" i="2"/>
  <c r="I38" i="2"/>
  <c r="J38" i="2"/>
  <c r="F39" i="2"/>
  <c r="G39" i="2"/>
  <c r="H39" i="2"/>
  <c r="I39" i="2"/>
  <c r="J39" i="2"/>
  <c r="F40" i="2"/>
  <c r="G40" i="2"/>
  <c r="H40" i="2"/>
  <c r="I40" i="2"/>
  <c r="J40" i="2"/>
  <c r="F41" i="2"/>
  <c r="G41" i="2"/>
  <c r="H41" i="2"/>
  <c r="I41" i="2"/>
  <c r="J41" i="2"/>
  <c r="F42" i="2"/>
  <c r="G42" i="2"/>
  <c r="H42" i="2"/>
  <c r="I42" i="2"/>
  <c r="J42" i="2"/>
  <c r="F43" i="2"/>
  <c r="G43" i="2"/>
  <c r="H43" i="2"/>
  <c r="I43" i="2"/>
  <c r="J43" i="2"/>
  <c r="F44" i="2"/>
  <c r="G44" i="2"/>
  <c r="H44" i="2"/>
  <c r="I44" i="2"/>
  <c r="J44" i="2"/>
  <c r="F45" i="2"/>
  <c r="G45" i="2"/>
  <c r="H45" i="2"/>
  <c r="I45" i="2"/>
  <c r="J45" i="2"/>
  <c r="F46" i="2"/>
  <c r="G46" i="2"/>
  <c r="H46" i="2"/>
  <c r="I46" i="2"/>
  <c r="J46" i="2"/>
  <c r="F47" i="2"/>
  <c r="G47" i="2"/>
  <c r="H47" i="2"/>
  <c r="I47" i="2"/>
  <c r="J47" i="2"/>
  <c r="F48" i="2"/>
  <c r="G48" i="2"/>
  <c r="H48" i="2"/>
  <c r="I48" i="2"/>
  <c r="J48" i="2"/>
  <c r="F49" i="2"/>
  <c r="G49" i="2"/>
  <c r="H49" i="2"/>
  <c r="I49" i="2"/>
  <c r="J49" i="2"/>
  <c r="F50" i="2"/>
  <c r="G50" i="2"/>
  <c r="H50" i="2"/>
  <c r="I50" i="2"/>
  <c r="J50" i="2"/>
  <c r="F51" i="2"/>
  <c r="G51" i="2"/>
  <c r="H51" i="2"/>
  <c r="I51" i="2"/>
  <c r="J51" i="2"/>
  <c r="F52" i="2"/>
  <c r="G52" i="2"/>
  <c r="H52" i="2"/>
  <c r="I52" i="2"/>
  <c r="J52" i="2"/>
  <c r="F53" i="2"/>
  <c r="G53" i="2"/>
  <c r="H53" i="2"/>
  <c r="I53" i="2"/>
  <c r="J53" i="2"/>
  <c r="F54" i="2"/>
  <c r="G54" i="2"/>
  <c r="H54" i="2"/>
  <c r="I54" i="2"/>
  <c r="J54" i="2"/>
  <c r="F55" i="2"/>
  <c r="G55" i="2"/>
  <c r="H55" i="2"/>
  <c r="I55" i="2"/>
  <c r="J55" i="2"/>
  <c r="F56" i="2"/>
  <c r="G56" i="2"/>
  <c r="H56" i="2"/>
  <c r="I56" i="2"/>
  <c r="J56" i="2"/>
  <c r="F57" i="2"/>
  <c r="G57" i="2"/>
  <c r="H57" i="2"/>
  <c r="I57" i="2"/>
  <c r="J57" i="2"/>
  <c r="F58" i="2"/>
  <c r="G58" i="2"/>
  <c r="H58" i="2"/>
  <c r="I58" i="2"/>
  <c r="J58" i="2"/>
  <c r="F59" i="2"/>
  <c r="G59" i="2"/>
  <c r="H59" i="2"/>
  <c r="I59" i="2"/>
  <c r="J59" i="2"/>
  <c r="F60" i="2"/>
  <c r="G60" i="2"/>
  <c r="H60" i="2"/>
  <c r="I60" i="2"/>
  <c r="J60" i="2"/>
  <c r="F61" i="2"/>
  <c r="G61" i="2"/>
  <c r="H61" i="2"/>
  <c r="I61" i="2"/>
  <c r="J61" i="2"/>
  <c r="F62" i="2"/>
  <c r="G62" i="2"/>
  <c r="H62" i="2"/>
  <c r="I62" i="2"/>
  <c r="J62" i="2"/>
  <c r="F63" i="2"/>
  <c r="G63" i="2"/>
  <c r="H63" i="2"/>
  <c r="I63" i="2"/>
  <c r="J63" i="2"/>
  <c r="F64" i="2"/>
  <c r="G64" i="2"/>
  <c r="H64" i="2"/>
  <c r="I64" i="2"/>
  <c r="J64" i="2"/>
  <c r="F65" i="2"/>
  <c r="G65" i="2"/>
  <c r="H65" i="2"/>
  <c r="I65" i="2"/>
  <c r="J65" i="2"/>
  <c r="F66" i="2"/>
  <c r="G66" i="2"/>
  <c r="H66" i="2"/>
  <c r="I66" i="2"/>
  <c r="J66" i="2"/>
  <c r="F67" i="2"/>
  <c r="G67" i="2"/>
  <c r="H67" i="2"/>
  <c r="I67" i="2"/>
  <c r="J67" i="2"/>
  <c r="F68" i="2"/>
  <c r="G68" i="2"/>
  <c r="H68" i="2"/>
  <c r="I68" i="2"/>
  <c r="J68" i="2"/>
  <c r="F69" i="2"/>
  <c r="G69" i="2"/>
  <c r="H69" i="2"/>
  <c r="I69" i="2"/>
  <c r="J69" i="2"/>
  <c r="F70" i="2"/>
  <c r="G70" i="2"/>
  <c r="H70" i="2"/>
  <c r="I70" i="2"/>
  <c r="J70" i="2"/>
  <c r="F71" i="2"/>
  <c r="G71" i="2"/>
  <c r="H71" i="2"/>
  <c r="I71" i="2"/>
  <c r="J71" i="2"/>
  <c r="F72" i="2"/>
  <c r="G72" i="2"/>
  <c r="H72" i="2"/>
  <c r="I72" i="2"/>
  <c r="J72" i="2"/>
  <c r="F73" i="2"/>
  <c r="G73" i="2"/>
  <c r="H73" i="2"/>
  <c r="I73" i="2"/>
  <c r="J73" i="2"/>
  <c r="F74" i="2"/>
  <c r="G74" i="2"/>
  <c r="H74" i="2"/>
  <c r="I74" i="2"/>
  <c r="J74" i="2"/>
  <c r="F75" i="2"/>
  <c r="G75" i="2"/>
  <c r="H75" i="2"/>
  <c r="I75" i="2"/>
  <c r="J75" i="2"/>
  <c r="F76" i="2"/>
  <c r="G76" i="2"/>
  <c r="H76" i="2"/>
  <c r="I76" i="2"/>
  <c r="J76" i="2"/>
  <c r="F77" i="2"/>
  <c r="G77" i="2"/>
  <c r="H77" i="2"/>
  <c r="I77" i="2"/>
  <c r="J77" i="2"/>
  <c r="F78" i="2"/>
  <c r="G78" i="2"/>
  <c r="H78" i="2"/>
  <c r="I78" i="2"/>
  <c r="J78" i="2"/>
  <c r="F79" i="2"/>
  <c r="G79" i="2"/>
  <c r="H79" i="2"/>
  <c r="I79" i="2"/>
  <c r="J79" i="2"/>
  <c r="F80" i="2"/>
  <c r="G80" i="2"/>
  <c r="H80" i="2"/>
  <c r="I80" i="2"/>
  <c r="J80" i="2"/>
  <c r="F81" i="2"/>
  <c r="G81" i="2"/>
  <c r="H81" i="2"/>
  <c r="I81" i="2"/>
  <c r="J81" i="2"/>
  <c r="F82" i="2"/>
  <c r="G82" i="2"/>
  <c r="H82" i="2"/>
  <c r="I82" i="2"/>
  <c r="J82" i="2"/>
  <c r="F83" i="2"/>
  <c r="G83" i="2"/>
  <c r="H83" i="2"/>
  <c r="I83" i="2"/>
  <c r="J83" i="2"/>
  <c r="F84" i="2"/>
  <c r="G84" i="2"/>
  <c r="H84" i="2"/>
  <c r="I84" i="2"/>
  <c r="J84" i="2"/>
  <c r="F85" i="2"/>
  <c r="G85" i="2"/>
  <c r="H85" i="2"/>
  <c r="I85" i="2"/>
  <c r="J85" i="2"/>
  <c r="F86" i="2"/>
  <c r="G86" i="2"/>
  <c r="H86" i="2"/>
  <c r="I86" i="2"/>
  <c r="J86" i="2"/>
  <c r="F87" i="2"/>
  <c r="G87" i="2"/>
  <c r="H87" i="2"/>
  <c r="I87" i="2"/>
  <c r="J87" i="2"/>
  <c r="F88" i="2"/>
  <c r="G88" i="2"/>
  <c r="H88" i="2"/>
  <c r="I88" i="2"/>
  <c r="J88" i="2"/>
  <c r="F89" i="2"/>
  <c r="G89" i="2"/>
  <c r="H89" i="2"/>
  <c r="I89" i="2"/>
  <c r="J89" i="2"/>
  <c r="F90" i="2"/>
  <c r="G90" i="2"/>
  <c r="H90" i="2"/>
  <c r="I90" i="2"/>
  <c r="J90" i="2"/>
  <c r="F91" i="2"/>
  <c r="G91" i="2"/>
  <c r="H91" i="2"/>
  <c r="I91" i="2"/>
  <c r="J91" i="2"/>
  <c r="F92" i="2"/>
  <c r="G92" i="2"/>
  <c r="H92" i="2"/>
  <c r="I92" i="2"/>
  <c r="J92" i="2"/>
  <c r="F93" i="2"/>
  <c r="G93" i="2"/>
  <c r="H93" i="2"/>
  <c r="I93" i="2"/>
  <c r="J93" i="2"/>
  <c r="F94" i="2"/>
  <c r="G94" i="2"/>
  <c r="H94" i="2"/>
  <c r="I94" i="2"/>
  <c r="J94" i="2"/>
  <c r="F95" i="2"/>
  <c r="G95" i="2"/>
  <c r="H95" i="2"/>
  <c r="I95" i="2"/>
  <c r="J95" i="2"/>
  <c r="F96" i="2"/>
  <c r="G96" i="2"/>
  <c r="H96" i="2"/>
  <c r="I96" i="2"/>
  <c r="J96" i="2"/>
  <c r="F97" i="2"/>
  <c r="G97" i="2"/>
  <c r="H97" i="2"/>
  <c r="I97" i="2"/>
  <c r="J97" i="2"/>
  <c r="F98" i="2"/>
  <c r="G98" i="2"/>
  <c r="H98" i="2"/>
  <c r="I98" i="2"/>
  <c r="J98" i="2"/>
  <c r="F99" i="2"/>
  <c r="G99" i="2"/>
  <c r="H99" i="2"/>
  <c r="I99" i="2"/>
  <c r="J99" i="2"/>
  <c r="F100" i="2"/>
  <c r="G100" i="2"/>
  <c r="H100" i="2"/>
  <c r="I100" i="2"/>
  <c r="J100" i="2"/>
  <c r="F101" i="2"/>
  <c r="G101" i="2"/>
  <c r="H101" i="2"/>
  <c r="I101" i="2"/>
  <c r="J101" i="2"/>
  <c r="F102" i="2"/>
  <c r="G102" i="2"/>
  <c r="H102" i="2"/>
  <c r="I102" i="2"/>
  <c r="J102" i="2"/>
  <c r="F103" i="2"/>
  <c r="G103" i="2"/>
  <c r="H103" i="2"/>
  <c r="I103" i="2"/>
  <c r="J103" i="2"/>
  <c r="F104" i="2"/>
  <c r="G104" i="2"/>
  <c r="H104" i="2"/>
  <c r="I104" i="2"/>
  <c r="J104" i="2"/>
  <c r="F105" i="2"/>
  <c r="G105" i="2"/>
  <c r="H105" i="2"/>
  <c r="I105" i="2"/>
  <c r="J105" i="2"/>
  <c r="F106" i="2"/>
  <c r="G106" i="2"/>
  <c r="H106" i="2"/>
  <c r="I106" i="2"/>
  <c r="J106" i="2"/>
  <c r="F107" i="2"/>
  <c r="G107" i="2"/>
  <c r="H107" i="2"/>
  <c r="I107" i="2"/>
  <c r="J107" i="2"/>
  <c r="F108" i="2"/>
  <c r="G108" i="2"/>
  <c r="H108" i="2"/>
  <c r="I108" i="2"/>
  <c r="J108" i="2"/>
  <c r="F109" i="2"/>
  <c r="G109" i="2"/>
  <c r="H109" i="2"/>
  <c r="I109" i="2"/>
  <c r="J109" i="2"/>
  <c r="F110" i="2"/>
  <c r="G110" i="2"/>
  <c r="H110" i="2"/>
  <c r="I110" i="2"/>
  <c r="J110" i="2"/>
  <c r="F111" i="2"/>
  <c r="G111" i="2"/>
  <c r="H111" i="2"/>
  <c r="I111" i="2"/>
  <c r="J111" i="2"/>
  <c r="F112" i="2"/>
  <c r="G112" i="2"/>
  <c r="H112" i="2"/>
  <c r="I112" i="2"/>
  <c r="J112" i="2"/>
  <c r="F113" i="2"/>
  <c r="G113" i="2"/>
  <c r="H113" i="2"/>
  <c r="I113" i="2"/>
  <c r="J113" i="2"/>
  <c r="F114" i="2"/>
  <c r="G114" i="2"/>
  <c r="H114" i="2"/>
  <c r="I114" i="2"/>
  <c r="J114" i="2"/>
  <c r="F115" i="2"/>
  <c r="G115" i="2"/>
  <c r="H115" i="2"/>
  <c r="I115" i="2"/>
  <c r="J115" i="2"/>
  <c r="F116" i="2"/>
  <c r="G116" i="2"/>
  <c r="H116" i="2"/>
  <c r="I116" i="2"/>
  <c r="J116" i="2"/>
  <c r="F117" i="2"/>
  <c r="G117" i="2"/>
  <c r="H117" i="2"/>
  <c r="I117" i="2"/>
  <c r="J117" i="2"/>
  <c r="F118" i="2"/>
  <c r="G118" i="2"/>
  <c r="H118" i="2"/>
  <c r="I118" i="2"/>
  <c r="J118" i="2"/>
  <c r="F119" i="2"/>
  <c r="G119" i="2"/>
  <c r="H119" i="2"/>
  <c r="I119" i="2"/>
  <c r="J119" i="2"/>
  <c r="F120" i="2"/>
  <c r="G120" i="2"/>
  <c r="H120" i="2"/>
  <c r="I120" i="2"/>
  <c r="J120" i="2"/>
  <c r="F121" i="2"/>
  <c r="G121" i="2"/>
  <c r="H121" i="2"/>
  <c r="I121" i="2"/>
  <c r="J121" i="2"/>
  <c r="F122" i="2"/>
  <c r="G122" i="2"/>
  <c r="H122" i="2"/>
  <c r="I122" i="2"/>
  <c r="J122" i="2"/>
  <c r="F123" i="2"/>
  <c r="G123" i="2"/>
  <c r="H123" i="2"/>
  <c r="I123" i="2"/>
  <c r="J123" i="2"/>
  <c r="F124" i="2"/>
  <c r="G124" i="2"/>
  <c r="H124" i="2"/>
  <c r="I124" i="2"/>
  <c r="J124" i="2"/>
  <c r="F125" i="2"/>
  <c r="G125" i="2"/>
  <c r="H125" i="2"/>
  <c r="I125" i="2"/>
  <c r="J125" i="2"/>
  <c r="F126" i="2"/>
  <c r="G126" i="2"/>
  <c r="H126" i="2"/>
  <c r="I126" i="2"/>
  <c r="J126" i="2"/>
  <c r="F127" i="2"/>
  <c r="G127" i="2"/>
  <c r="H127" i="2"/>
  <c r="I127" i="2"/>
  <c r="J127" i="2"/>
  <c r="F128" i="2"/>
  <c r="G128" i="2"/>
  <c r="H128" i="2"/>
  <c r="I128" i="2"/>
  <c r="J128" i="2"/>
  <c r="F129" i="2"/>
  <c r="G129" i="2"/>
  <c r="H129" i="2"/>
  <c r="I129" i="2"/>
  <c r="J129" i="2"/>
  <c r="F130" i="2"/>
  <c r="G130" i="2"/>
  <c r="H130" i="2"/>
  <c r="I130" i="2"/>
  <c r="J130" i="2"/>
  <c r="F131" i="2"/>
  <c r="G131" i="2"/>
  <c r="H131" i="2"/>
  <c r="I131" i="2"/>
  <c r="J131" i="2"/>
  <c r="F132" i="2"/>
  <c r="G132" i="2"/>
  <c r="H132" i="2"/>
  <c r="I132" i="2"/>
  <c r="J132" i="2"/>
  <c r="F133" i="2"/>
  <c r="G133" i="2"/>
  <c r="H133" i="2"/>
  <c r="I133" i="2"/>
  <c r="J133" i="2"/>
  <c r="F134" i="2"/>
  <c r="G134" i="2"/>
  <c r="H134" i="2"/>
  <c r="I134" i="2"/>
  <c r="J134" i="2"/>
  <c r="F135" i="2"/>
  <c r="G135" i="2"/>
  <c r="H135" i="2"/>
  <c r="I135" i="2"/>
  <c r="J135" i="2"/>
  <c r="F136" i="2"/>
  <c r="G136" i="2"/>
  <c r="H136" i="2"/>
  <c r="I136" i="2"/>
  <c r="J136" i="2"/>
  <c r="F137" i="2"/>
  <c r="G137" i="2"/>
  <c r="H137" i="2"/>
  <c r="I137" i="2"/>
  <c r="J137" i="2"/>
  <c r="F2" i="2"/>
  <c r="G2" i="2"/>
  <c r="H2" i="2"/>
  <c r="I2" i="2"/>
  <c r="J2" i="2"/>
  <c r="H4" i="5"/>
  <c r="H5" i="5"/>
  <c r="I4" i="5" l="1"/>
  <c r="I5" i="5"/>
</calcChain>
</file>

<file path=xl/sharedStrings.xml><?xml version="1.0" encoding="utf-8"?>
<sst xmlns="http://schemas.openxmlformats.org/spreadsheetml/2006/main" count="1633" uniqueCount="163">
  <si>
    <t xml:space="preserve">DESCRIÇÃO </t>
  </si>
  <si>
    <t>TIPO</t>
  </si>
  <si>
    <t>CATEGORIA</t>
  </si>
  <si>
    <t>Combustível</t>
  </si>
  <si>
    <t>DESPESA</t>
  </si>
  <si>
    <t>Transporte</t>
  </si>
  <si>
    <t>CONTA</t>
  </si>
  <si>
    <t>DATA</t>
  </si>
  <si>
    <t>HISTÓRICO</t>
  </si>
  <si>
    <t>VALOR</t>
  </si>
  <si>
    <t xml:space="preserve">CATEGORIA </t>
  </si>
  <si>
    <t>Inter</t>
  </si>
  <si>
    <t>Salário</t>
  </si>
  <si>
    <t xml:space="preserve">Financiamento </t>
  </si>
  <si>
    <t>RECEITA</t>
  </si>
  <si>
    <t>Serviço Financeiro</t>
  </si>
  <si>
    <t>Pessoal</t>
  </si>
  <si>
    <t>DESCRICAO</t>
  </si>
  <si>
    <t>ANO</t>
  </si>
  <si>
    <t>TRI</t>
  </si>
  <si>
    <t>MÊS</t>
  </si>
  <si>
    <t>2023 Total</t>
  </si>
  <si>
    <t>Sep</t>
  </si>
  <si>
    <t>Soma de VALOR</t>
  </si>
  <si>
    <t>Filtros</t>
  </si>
  <si>
    <t>Ano</t>
  </si>
  <si>
    <t>Mês</t>
  </si>
  <si>
    <t>Tri</t>
  </si>
  <si>
    <t>Categoria</t>
  </si>
  <si>
    <t>Descrição</t>
  </si>
  <si>
    <t>Gráficos</t>
  </si>
  <si>
    <t>Receita</t>
  </si>
  <si>
    <t xml:space="preserve">Despesas </t>
  </si>
  <si>
    <t>Saldo</t>
  </si>
  <si>
    <t>1° Tri</t>
  </si>
  <si>
    <t>2° Tri</t>
  </si>
  <si>
    <t>3° Tri</t>
  </si>
  <si>
    <t>4° Tri</t>
  </si>
  <si>
    <t>Cards</t>
  </si>
  <si>
    <t>ReceitaxDepesa</t>
  </si>
  <si>
    <t>Rosca</t>
  </si>
  <si>
    <t>Receita, Despesa e Saldo</t>
  </si>
  <si>
    <t>Tipo de Receita</t>
  </si>
  <si>
    <t xml:space="preserve">Rosca </t>
  </si>
  <si>
    <t>DespesaxCategoria</t>
  </si>
  <si>
    <t>Despesas DetalhadaX mês</t>
  </si>
  <si>
    <t>PIX ENVIADO - Cp :90400888-JULIO CESAR DE OLIVEIRA GOMES</t>
  </si>
  <si>
    <t>COMPRA CARTAO - No estabelecimento MILK SHAKE MIX BARRA DO PIRA BR</t>
  </si>
  <si>
    <t>PAGAMENTO FATURA INTER - Pagamento fatura cartão Inter</t>
  </si>
  <si>
    <t>RESGATE - CDB POS DI LIQ. BANCO INTER SA</t>
  </si>
  <si>
    <t>Transferencia</t>
  </si>
  <si>
    <t>PIX RECEBIDO - Cp :90400888-JULIO CESAR DE OLIVEIRA GOMES</t>
  </si>
  <si>
    <t>COMPRA CARTAO - No estabelecimento MP *CREDODELICIA OSASCO BRA</t>
  </si>
  <si>
    <t>Higiene Pessoal</t>
  </si>
  <si>
    <t xml:space="preserve">Celular </t>
  </si>
  <si>
    <t xml:space="preserve">Exames </t>
  </si>
  <si>
    <t>Saúde</t>
  </si>
  <si>
    <t>Fármacia</t>
  </si>
  <si>
    <t xml:space="preserve">Festa </t>
  </si>
  <si>
    <t>Cinema/Shows/Jogos</t>
  </si>
  <si>
    <t>Lazer</t>
  </si>
  <si>
    <t xml:space="preserve">Investimentos </t>
  </si>
  <si>
    <t>IPVA</t>
  </si>
  <si>
    <t>Manutenção</t>
  </si>
  <si>
    <t xml:space="preserve">Mensalidade </t>
  </si>
  <si>
    <t>Multas</t>
  </si>
  <si>
    <t>Padaria</t>
  </si>
  <si>
    <t>Alimentação</t>
  </si>
  <si>
    <t xml:space="preserve">Restaurante </t>
  </si>
  <si>
    <t xml:space="preserve">Supermercado </t>
  </si>
  <si>
    <t xml:space="preserve">Alimentação </t>
  </si>
  <si>
    <t>Vestuário</t>
  </si>
  <si>
    <t>Viagens</t>
  </si>
  <si>
    <t>SAQUE 24 HORAS - No estabelecimento Banco24Horas</t>
  </si>
  <si>
    <t>Saque</t>
  </si>
  <si>
    <t>COMPRA CARTAO - No estabelecimento MP *CREDODELICIAAVENID OSASCO B</t>
  </si>
  <si>
    <t>COMPRA CARTAO - No estabelecimento MARCELO CORREA BRAGA P BARRA DO</t>
  </si>
  <si>
    <t>PIX RECEBIDO - Cp :18236120-Julio Cesar de Oliveira Gomes</t>
  </si>
  <si>
    <t xml:space="preserve">Renda Extra </t>
  </si>
  <si>
    <t>Pagamento Fatura</t>
  </si>
  <si>
    <t>COMPRA CARTAO - No estabelecimento JOAO L GOMES DOS SANT BARRA DO</t>
  </si>
  <si>
    <t>Desconhecido</t>
  </si>
  <si>
    <t>Outro</t>
  </si>
  <si>
    <t>Lanchonete</t>
  </si>
  <si>
    <t>PIX ENVIADO - Cp :03311443-M4 PRODUTOS E SERVIÇOS S.A</t>
  </si>
  <si>
    <t>COMPRA CARTAO - No estabelecimento BARRA ACAI BARRA DO PIRA BRA</t>
  </si>
  <si>
    <t>COMPRA CARTAO - No estabelecimento TATU FILMES BARRA DO PIRA BRA</t>
  </si>
  <si>
    <t>SALDO</t>
  </si>
  <si>
    <t>3° TRI</t>
  </si>
  <si>
    <t>RECEITAS</t>
  </si>
  <si>
    <t>DESPESAS</t>
  </si>
  <si>
    <t>Receita X Desesa</t>
  </si>
  <si>
    <t>Receita, Despesa e Saldo X Mês</t>
  </si>
  <si>
    <t>Soma de Valores Abc</t>
  </si>
  <si>
    <t>Santander</t>
  </si>
  <si>
    <t>Transferencia1</t>
  </si>
  <si>
    <t>SAQUE TERMINAL INTER AG</t>
  </si>
  <si>
    <t>DEBITO VISA ELECTRON BRASIL 18/09 MILK SHAKE MIX</t>
  </si>
  <si>
    <t>PIX ENVIADO - Cp :21018182-Amazon Serviços de Varejo do Brasil L</t>
  </si>
  <si>
    <t>PIX ENVIADO - Cp :90400888-GABRIELA SILVA BARBIERI CLETO</t>
  </si>
  <si>
    <t xml:space="preserve">Inter </t>
  </si>
  <si>
    <t>4° TRI</t>
  </si>
  <si>
    <t>Oct</t>
  </si>
  <si>
    <t>COMPRA CARTAO - No estabelecimento POSTO JALISCO BARRA DO PIRA BRA</t>
  </si>
  <si>
    <t>PIX ENVIADO - Cp :90400888-ARIEL WESLEY ZACARIAS DE OLIVEIRA</t>
  </si>
  <si>
    <t>PIX RECEBIDO - Cp :90400888-ARIEL WESLEY ZACARIAS DE OLIVEIRA</t>
  </si>
  <si>
    <t>COMPRA CARTAO - No estabelecimento BARRA GAMES BARRA DO PIRA BRA</t>
  </si>
  <si>
    <t>Papelaria</t>
  </si>
  <si>
    <t>Impressões</t>
  </si>
  <si>
    <t>PAGAMENTO DE TITULO - Pagamento</t>
  </si>
  <si>
    <t>PIX RECEBIDO - Cp :18236120-Cleonice Vitória de Oliveira Gomes</t>
  </si>
  <si>
    <t>PIX ENVIADO - Cp :59588111-WISE BRASIL CORRETORA DE CAMBIO LTDA</t>
  </si>
  <si>
    <t>COMPRA CARTAO - No estabelecimento SMART PRONTO BARRA DO PIRA BRA</t>
  </si>
  <si>
    <t>PIX RECEBIDO - Cp :00360305-YAN FERNANDES DA MOTA</t>
  </si>
  <si>
    <t>RESGATE - CDB CREDITO BANCO INTER SA</t>
  </si>
  <si>
    <t>PIX ENVIADO - Cp :18236120-Cleonice Vitória de Oliveira Gomes</t>
  </si>
  <si>
    <t>COMPRA CARTAO No estabelecimento TAMARA LOPES DA SILVA BARRA DO</t>
  </si>
  <si>
    <t>Row Labels</t>
  </si>
  <si>
    <t>Column Labels</t>
  </si>
  <si>
    <t>Grand Total</t>
  </si>
  <si>
    <t>GRD</t>
  </si>
  <si>
    <t xml:space="preserve">COMPRA CARTAO - No estabelecimento TAMARA LOPES DA SILVA BARRA DO </t>
  </si>
  <si>
    <t>COMPRA CARTAO - No estabelecimento UTIL 555 ROD BPI RJ BARRA DO PI</t>
  </si>
  <si>
    <t>COMPRA CARTAO - No estabelecimento LANCHONETE SAO JUDAS T BARRA DO</t>
  </si>
  <si>
    <t>COMPRA CARTAO - No estabelecimento POP 23Out 09h39min SP BRA</t>
  </si>
  <si>
    <t>COMPRA CARTAO - No estabelecimento MP *VALETPARKCASVAVENI OSASCO B</t>
  </si>
  <si>
    <t>COMPRA CARTAO - No estabelecimento SABOR GENERAL RIO DE JANEIR BRA</t>
  </si>
  <si>
    <t>COMPRA CARTAO - No estabelecimento TUPINIQUIM RIO DE JANEIR BRA</t>
  </si>
  <si>
    <t>COMPRA CARTAO - No estabelecimento DROGAFARMA BOFAFOGO RIO DE JANE</t>
  </si>
  <si>
    <t>COMPRA CARTAO - No estabelecimento POP 24Out 06h09min SP BRA</t>
  </si>
  <si>
    <t>COMPRA CARTAO - No estabelecimento POP 24Out 09h06min SP BRA</t>
  </si>
  <si>
    <t>COMPRA CARTAO - No estabelecimento PAG*Viajantes RIO DE JANEIR BRA</t>
  </si>
  <si>
    <t>COMPRA CARTAO - No estabelecimento VR BBS RESTAURANTE LT RIO DE JA</t>
  </si>
  <si>
    <t xml:space="preserve">COMPRA CARTAO - No estabelecimento SUBWAY BARRA DO PIRAI BARRA DO </t>
  </si>
  <si>
    <t>PIX ENVIADO INTERNO - 00019 0114542716 SANDERSON ALVES</t>
  </si>
  <si>
    <t>COMPRA CARTAO - No estabelecimento DROGARIA POVAO 01 BARRA DO PIRA</t>
  </si>
  <si>
    <t>PAGAMENTO FATURA INTER - Débito Automático Fatura Cartão Inter</t>
  </si>
  <si>
    <t>PIX ENVIADO - Cp :00360305-YAN FERNANDES DA MOTA</t>
  </si>
  <si>
    <t>PIX ENVIADO - Cp :31872495-MASSA E CIA</t>
  </si>
  <si>
    <t>PIX RECEBIDO - Cp :18236120-Flávia do Santos de Deus</t>
  </si>
  <si>
    <t xml:space="preserve">COMPRA CARTAO - No estabelecimento PADARIA MAC PAES BARRA DO PIRA </t>
  </si>
  <si>
    <t xml:space="preserve">COMPRA CARTAO - No estabelecimento POSTO NOVA BARRA LTDA BARRA DO </t>
  </si>
  <si>
    <t>COMPRA CARTAO - No estabelecimento PADARIA TEIXEIRA-SABO PIRAI BRA</t>
  </si>
  <si>
    <t>COMPRA CARTAO - No estabelecimento FARMACIA FRANCO GONCA PIRAI BRA</t>
  </si>
  <si>
    <t>PIX ENVIADO - Cp :18236120-Luís Eduardo de Oliveira Fidelis</t>
  </si>
  <si>
    <t>COMPRA CARTAO - No estabelecimento PAG*NatachaPonath PIRAI BRA</t>
  </si>
  <si>
    <t>COMPRA CARTAO - No estabelecimento MP *CHURRASQUINHOAVENI OSASCO B</t>
  </si>
  <si>
    <t>PIX ENVIADO - Cp :08561701-PAGSEGURO TECNOLOGIA LTDA</t>
  </si>
  <si>
    <t xml:space="preserve">COMPRA CARTAO - No estabelecimento PAG*PancaCheiaLanches BARRA DO </t>
  </si>
  <si>
    <t>PIX ENVIADO - Cp :90400888-MIGUEL AMENTA</t>
  </si>
  <si>
    <t>PIX RECEBIDO - Cp :00360305-CLEONICE VITORIA DE OLIVEIRA GOMES</t>
  </si>
  <si>
    <t>COMPRA CARTAO - No estabelecimento Mones lanches BARRA DO PIRA BRA</t>
  </si>
  <si>
    <t>PIX ENVIADO - Cp :18236120-João Gabriel Molinário da Silva</t>
  </si>
  <si>
    <t>Nov</t>
  </si>
  <si>
    <t xml:space="preserve">Faculdade </t>
  </si>
  <si>
    <t xml:space="preserve">Estudos </t>
  </si>
  <si>
    <t>Hotel</t>
  </si>
  <si>
    <t>Dec</t>
  </si>
  <si>
    <t>Details for Soma de VALOR - TIPO: RECEITA, ANO: 2023</t>
  </si>
  <si>
    <t>Details for Soma de VALOR - TIPO: DESPESA, ANO: 2023</t>
  </si>
  <si>
    <t>2024 Total</t>
  </si>
  <si>
    <t>Teste</t>
  </si>
  <si>
    <t>2014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</si>
</sst>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;[Red]#,##0.00"/>
    <numFmt numFmtId="165" formatCode="_-[$R$-416]\ * #,##0.00_-;\-[$R$-416]\ * #,##0.00_-;_-[$R$-416]\ * &quot;-&quot;??_-;_-@_-"/>
    <numFmt numFmtId="166" formatCode="[$R$-416]\ #,##0.00;[Red]\-[$R$-416]\ #,##0.00"/>
  </numFmts>
  <fonts count="8" x14ac:knownFonts="1">
    <font>
      <sz val="11"/>
      <color theme="1"/>
      <name val="Aveny T WEB"/>
      <family val="2"/>
      <scheme val="minor"/>
    </font>
    <font>
      <sz val="11"/>
      <color rgb="FF000000"/>
      <name val="Aveny T WEB"/>
      <family val="2"/>
      <scheme val="minor"/>
    </font>
    <font>
      <sz val="11"/>
      <color theme="1"/>
      <name val="Aveny T WEB"/>
      <family val="2"/>
      <scheme val="minor"/>
    </font>
    <font>
      <b/>
      <sz val="11"/>
      <color theme="1"/>
      <name val="Aveny T WEB"/>
      <family val="2"/>
      <scheme val="minor"/>
    </font>
    <font>
      <sz val="11"/>
      <color theme="0" tint="-4.9989318521683403E-2"/>
      <name val="Aveny T WEB"/>
      <family val="2"/>
      <scheme val="minor"/>
    </font>
    <font>
      <sz val="11"/>
      <color theme="1"/>
      <name val="Aveny T WEB"/>
      <scheme val="minor"/>
    </font>
    <font>
      <sz val="11"/>
      <color rgb="FF000000"/>
      <name val="Aveny T WEB"/>
      <scheme val="minor"/>
    </font>
    <font>
      <sz val="8"/>
      <name val="Aveny T WEB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vertical="center" wrapText="1"/>
    </xf>
    <xf numFmtId="0" fontId="3" fillId="0" borderId="0" xfId="0" applyFon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2"/>
    </xf>
    <xf numFmtId="166" fontId="0" fillId="0" borderId="0" xfId="0" applyNumberFormat="1"/>
    <xf numFmtId="9" fontId="0" fillId="0" borderId="0" xfId="1" applyFont="1"/>
    <xf numFmtId="0" fontId="3" fillId="2" borderId="0" xfId="0" applyFont="1" applyFill="1"/>
    <xf numFmtId="165" fontId="0" fillId="0" borderId="0" xfId="0" applyNumberFormat="1" applyAlignment="1">
      <alignment horizontal="left" indent="1"/>
    </xf>
    <xf numFmtId="9" fontId="0" fillId="0" borderId="0" xfId="0" applyNumberFormat="1"/>
    <xf numFmtId="0" fontId="0" fillId="0" borderId="0" xfId="0" applyAlignment="1">
      <alignment horizontal="left" indent="2"/>
    </xf>
    <xf numFmtId="0" fontId="4" fillId="3" borderId="0" xfId="0" applyFont="1" applyFill="1"/>
    <xf numFmtId="10" fontId="0" fillId="0" borderId="0" xfId="0" applyNumberFormat="1"/>
    <xf numFmtId="0" fontId="5" fillId="0" borderId="0" xfId="0" applyFont="1"/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Font="1"/>
  </cellXfs>
  <cellStyles count="2">
    <cellStyle name="Normal" xfId="0" builtinId="0"/>
    <cellStyle name="Percent" xfId="1" builtinId="5"/>
  </cellStyles>
  <dxfs count="151"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65" formatCode="_-[$R$-416]\ * #,##0.00_-;\-[$R$-416]\ * #,##0.00_-;_-[$R$-416]\ * &quot;-&quot;??_-;_-@_-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65" formatCode="_-[$R$-416]\ * #,##0.00_-;\-[$R$-416]\ * #,##0.00_-;_-[$R$-416]\ * &quot;-&quot;??_-;_-@_-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65" formatCode="_-[$R$-416]\ * #,##0.00_-;\-[$R$-416]\ * #,##0.00_-;_-[$R$-416]\ * &quot;-&quot;??_-;_-@_-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65" formatCode="_-[$R$-416]\ * #,##0.00_-;\-[$R$-416]\ * #,##0.00_-;_-[$R$-416]\ * &quot;-&quot;??_-;_-@_-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65" formatCode="_-[$R$-416]\ * #,##0.00_-;\-[$R$-416]\ * #,##0.00_-;_-[$R$-416]\ * &quot;-&quot;??_-;_-@_-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name val="Aveny T WEB"/>
        <scheme val="minor"/>
      </font>
    </dxf>
    <dxf>
      <numFmt numFmtId="166" formatCode="[$R$-416]\ #,##0.00;[Red]\-[$R$-416]\ 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65" formatCode="_-[$R$-416]\ * #,##0.00_-;\-[$R$-416]\ * #,##0.00_-;_-[$R$-416]\ * &quot;-&quot;??_-;_-@_-"/>
    </dxf>
    <dxf>
      <numFmt numFmtId="19" formatCode="m/d/yyyy"/>
    </dxf>
    <dxf>
      <numFmt numFmtId="19" formatCode="m/d/yyyy"/>
    </dxf>
    <dxf>
      <font>
        <b/>
        <i val="0"/>
        <color theme="1" tint="0.24994659260841701"/>
      </font>
      <border>
        <bottom style="thin">
          <color theme="5"/>
        </bottom>
      </border>
    </dxf>
    <dxf>
      <font>
        <sz val="10"/>
        <name val="Arial Narrow"/>
        <family val="2"/>
        <scheme val="none"/>
      </font>
    </dxf>
  </dxfs>
  <tableStyles count="1" defaultTableStyle="TableStyleMedium2" defaultPivotStyle="PivotStyleLight16">
    <tableStyle name="SlicerStyleLight1 2" pivot="0" table="0" count="6" xr9:uid="{08FBEDD7-DBD1-437F-A6A0-5F434DCB9A0E}">
      <tableStyleElement type="wholeTable" dxfId="150"/>
      <tableStyleElement type="headerRow" dxfId="149"/>
    </tableStyle>
  </tableStyle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5"/>
            </patternFill>
          </fill>
        </dxf>
        <dxf>
          <font>
            <color theme="0"/>
          </font>
          <fill>
            <patternFill>
              <bgColor theme="5"/>
            </patternFill>
          </fill>
        </dxf>
        <dxf>
          <font>
            <color theme="0"/>
          </font>
          <fill>
            <patternFill>
              <bgColor theme="5"/>
            </patternFill>
          </fill>
        </dxf>
        <dxf>
          <fill>
            <patternFill>
              <bgColor theme="2" tint="-9.9948118533890809E-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55-410F-8865-1E0528BF3F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55-410F-8865-1E0528BF3FA2}"/>
              </c:ext>
            </c:extLst>
          </c:dPt>
          <c:val>
            <c:numRef>
              <c:f>Tabelas!$I$4:$I$5</c:f>
              <c:numCache>
                <c:formatCode>0%</c:formatCode>
                <c:ptCount val="2"/>
                <c:pt idx="0">
                  <c:v>0.64113524651831044</c:v>
                </c:pt>
                <c:pt idx="1">
                  <c:v>0.35886475348168956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55-410F-8865-1E0528BF3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dinâmica4</c:name>
    <c:fmtId val="19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050" b="1">
                  <a:solidFill>
                    <a:schemeClr val="accent1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050" b="1">
                  <a:solidFill>
                    <a:schemeClr val="accent2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3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b="1">
                  <a:solidFill>
                    <a:schemeClr val="tx1">
                      <a:lumMod val="75000"/>
                      <a:lumOff val="25000"/>
                    </a:schemeClr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2093977812839008E-2"/>
          <c:y val="0.23947209951006132"/>
          <c:w val="0.83037505615474039"/>
          <c:h val="0.484674120928619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Tabelas!$E$16:$E$17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accent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Tabelas!$D$18:$D$32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  <c:pt idx="4">
                    <c:v>2014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Tabelas!$E$18:$E$32</c:f>
              <c:numCache>
                <c:formatCode>_-[$R$-416]\ * #,##0.00_-;\-[$R$-416]\ * #,##0.00_-;_-[$R$-416]\ * "-"??_-;_-@_-</c:formatCode>
                <c:ptCount val="12"/>
                <c:pt idx="0">
                  <c:v>1954.99</c:v>
                </c:pt>
                <c:pt idx="1">
                  <c:v>2075.4299999999998</c:v>
                </c:pt>
                <c:pt idx="2">
                  <c:v>2017.5</c:v>
                </c:pt>
                <c:pt idx="3">
                  <c:v>1924.5</c:v>
                </c:pt>
                <c:pt idx="7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C-4C3F-9C07-4A838B4551DF}"/>
            </c:ext>
          </c:extLst>
        </c:ser>
        <c:ser>
          <c:idx val="1"/>
          <c:order val="1"/>
          <c:tx>
            <c:strRef>
              <c:f>Tabelas!$F$16:$F$17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Tabelas!$D$18:$D$32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  <c:pt idx="4">
                    <c:v>2014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Tabelas!$F$18:$F$32</c:f>
              <c:numCache>
                <c:formatCode>_-[$R$-416]\ * #,##0.00_-;\-[$R$-416]\ * #,##0.00_-;_-[$R$-416]\ * "-"??_-;_-@_-</c:formatCode>
                <c:ptCount val="12"/>
                <c:pt idx="0">
                  <c:v>-3214.5299999999997</c:v>
                </c:pt>
                <c:pt idx="1">
                  <c:v>-4045.58</c:v>
                </c:pt>
                <c:pt idx="2">
                  <c:v>-1491.2700000000002</c:v>
                </c:pt>
                <c:pt idx="3">
                  <c:v>-1684.38</c:v>
                </c:pt>
                <c:pt idx="11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C-4C3F-9C07-4A838B4551DF}"/>
            </c:ext>
          </c:extLst>
        </c:ser>
        <c:ser>
          <c:idx val="2"/>
          <c:order val="2"/>
          <c:tx>
            <c:strRef>
              <c:f>Tabelas!$G$16:$G$17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Tabelas!$D$18:$D$32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  <c:pt idx="4">
                    <c:v>2014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Tabelas!$G$18:$G$32</c:f>
              <c:numCache>
                <c:formatCode>_-[$R$-416]\ * #,##0.00_-;\-[$R$-416]\ * #,##0.00_-;_-[$R$-416]\ * "-"??_-;_-@_-</c:formatCode>
                <c:ptCount val="12"/>
                <c:pt idx="0">
                  <c:v>-1259.5399999999997</c:v>
                </c:pt>
                <c:pt idx="1">
                  <c:v>-1970.15</c:v>
                </c:pt>
                <c:pt idx="2">
                  <c:v>526.22999999999979</c:v>
                </c:pt>
                <c:pt idx="3">
                  <c:v>240.11999999999989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DA-4596-B922-F34DB3F45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5067711"/>
        <c:axId val="2021987631"/>
      </c:barChart>
      <c:catAx>
        <c:axId val="2950677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1987631"/>
        <c:crosses val="autoZero"/>
        <c:auto val="1"/>
        <c:lblAlgn val="ctr"/>
        <c:lblOffset val="100"/>
        <c:noMultiLvlLbl val="0"/>
      </c:catAx>
      <c:valAx>
        <c:axId val="2021987631"/>
        <c:scaling>
          <c:orientation val="minMax"/>
        </c:scaling>
        <c:delete val="1"/>
        <c:axPos val="l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29506771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dinâmica4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bg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28575" cap="rnd">
            <a:solidFill>
              <a:schemeClr val="accent3"/>
            </a:solidFill>
            <a:round/>
          </a:ln>
          <a:effectLst/>
        </c:spPr>
      </c:pivotFmt>
      <c:pivotFmt>
        <c:idx val="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2.5000000000000001E-2"/>
          <c:y val="0.10185185185185185"/>
          <c:w val="0.93888888888888888"/>
          <c:h val="0.89814814814814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Tabelas!$E$16:$E$17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multiLvlStrRef>
              <c:f>Tabelas!$D$18:$D$32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  <c:pt idx="4">
                    <c:v>2014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Tabelas!$E$18:$E$32</c:f>
              <c:numCache>
                <c:formatCode>_-[$R$-416]\ * #,##0.00_-;\-[$R$-416]\ * #,##0.00_-;_-[$R$-416]\ * "-"??_-;_-@_-</c:formatCode>
                <c:ptCount val="12"/>
                <c:pt idx="0">
                  <c:v>1954.99</c:v>
                </c:pt>
                <c:pt idx="1">
                  <c:v>2075.4299999999998</c:v>
                </c:pt>
                <c:pt idx="2">
                  <c:v>2017.5</c:v>
                </c:pt>
                <c:pt idx="3">
                  <c:v>1924.5</c:v>
                </c:pt>
                <c:pt idx="7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F-4FA1-A074-F549B0EE29BC}"/>
            </c:ext>
          </c:extLst>
        </c:ser>
        <c:ser>
          <c:idx val="1"/>
          <c:order val="1"/>
          <c:tx>
            <c:strRef>
              <c:f>Tabelas!$F$16:$F$17</c:f>
              <c:strCache>
                <c:ptCount val="1"/>
                <c:pt idx="0">
                  <c:v>DESPESA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Tabelas!$D$18:$D$32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  <c:pt idx="4">
                    <c:v>2014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Tabelas!$F$18:$F$32</c:f>
              <c:numCache>
                <c:formatCode>_-[$R$-416]\ * #,##0.00_-;\-[$R$-416]\ * #,##0.00_-;_-[$R$-416]\ * "-"??_-;_-@_-</c:formatCode>
                <c:ptCount val="12"/>
                <c:pt idx="0">
                  <c:v>-3214.5299999999997</c:v>
                </c:pt>
                <c:pt idx="1">
                  <c:v>-4045.58</c:v>
                </c:pt>
                <c:pt idx="2">
                  <c:v>-1491.2700000000002</c:v>
                </c:pt>
                <c:pt idx="3">
                  <c:v>-1684.38</c:v>
                </c:pt>
                <c:pt idx="11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F-4FA1-A074-F549B0EE29BC}"/>
            </c:ext>
          </c:extLst>
        </c:ser>
        <c:ser>
          <c:idx val="2"/>
          <c:order val="2"/>
          <c:tx>
            <c:strRef>
              <c:f>Tabelas!$G$16:$G$17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 w="28575" cap="rnd">
                <a:solidFill>
                  <a:schemeClr val="accent3"/>
                </a:solidFill>
                <a:round/>
              </a:ln>
              <a:effectLst/>
            </c:spPr>
          </c:dPt>
          <c:cat>
            <c:multiLvlStrRef>
              <c:f>Tabelas!$D$18:$D$32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2023</c:v>
                  </c:pt>
                  <c:pt idx="4">
                    <c:v>2014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Tabelas!$G$18:$G$32</c:f>
              <c:numCache>
                <c:formatCode>_-[$R$-416]\ * #,##0.00_-;\-[$R$-416]\ * #,##0.00_-;_-[$R$-416]\ * "-"??_-;_-@_-</c:formatCode>
                <c:ptCount val="12"/>
                <c:pt idx="0">
                  <c:v>-1259.5399999999997</c:v>
                </c:pt>
                <c:pt idx="1">
                  <c:v>-1970.15</c:v>
                </c:pt>
                <c:pt idx="2">
                  <c:v>526.22999999999979</c:v>
                </c:pt>
                <c:pt idx="3">
                  <c:v>240.11999999999989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04-4C4A-948F-080BD0253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95067711"/>
        <c:axId val="2021987631"/>
      </c:barChart>
      <c:catAx>
        <c:axId val="295067711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987631"/>
        <c:crosses val="autoZero"/>
        <c:auto val="1"/>
        <c:lblAlgn val="ctr"/>
        <c:lblOffset val="100"/>
        <c:noMultiLvlLbl val="0"/>
      </c:catAx>
      <c:valAx>
        <c:axId val="2021987631"/>
        <c:scaling>
          <c:orientation val="minMax"/>
          <c:max val="0"/>
        </c:scaling>
        <c:delete val="1"/>
        <c:axPos val="l"/>
        <c:numFmt formatCode="_-[$R$-416]\ * #,##0.00_-;\-[$R$-416]\ * #,##0.00_-;_-[$R$-416]\ * &quot;-&quot;??_-;_-@_-" sourceLinked="1"/>
        <c:majorTickMark val="out"/>
        <c:minorTickMark val="none"/>
        <c:tickLblPos val="nextTo"/>
        <c:crossAx val="29506771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Tabelas!$U$4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</c:dPt>
          <c:cat>
            <c:multiLvlStrRef>
              <c:f>Tabelas!$T$5:$T$8</c:f>
              <c:multiLvlStrCache>
                <c:ptCount val="3"/>
                <c:lvl>
                  <c:pt idx="0">
                    <c:v>Renda Extra </c:v>
                  </c:pt>
                  <c:pt idx="1">
                    <c:v>Salário</c:v>
                  </c:pt>
                  <c:pt idx="2">
                    <c:v>Transferencia1</c:v>
                  </c:pt>
                </c:lvl>
                <c:lvl>
                  <c:pt idx="0">
                    <c:v>RECEITA</c:v>
                  </c:pt>
                </c:lvl>
              </c:multiLvlStrCache>
            </c:multiLvlStrRef>
          </c:cat>
          <c:val>
            <c:numRef>
              <c:f>Tabelas!$U$5:$U$8</c:f>
              <c:numCache>
                <c:formatCode>General</c:formatCode>
                <c:ptCount val="3"/>
                <c:pt idx="0">
                  <c:v>2.4010668650383121E-2</c:v>
                </c:pt>
                <c:pt idx="1">
                  <c:v>0.97578557561273516</c:v>
                </c:pt>
                <c:pt idx="2">
                  <c:v>2.0375573688169625E-4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F0-4CB5-B4A2-C5153A480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dinâmica6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5068477690288713"/>
          <c:y val="0.10265340629428471"/>
          <c:w val="0.34484107182551799"/>
          <c:h val="0.800373531559415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Tabelas!$R$4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Tabelas!$Q$5:$Q$14</c:f>
              <c:multiLvlStrCache>
                <c:ptCount val="9"/>
                <c:lvl>
                  <c:pt idx="0">
                    <c:v>Pessoal</c:v>
                  </c:pt>
                  <c:pt idx="1">
                    <c:v>Serviço Financeiro</c:v>
                  </c:pt>
                  <c:pt idx="2">
                    <c:v>Alimentação</c:v>
                  </c:pt>
                  <c:pt idx="3">
                    <c:v>Transporte</c:v>
                  </c:pt>
                  <c:pt idx="4">
                    <c:v>Saúde</c:v>
                  </c:pt>
                  <c:pt idx="5">
                    <c:v>Lazer</c:v>
                  </c:pt>
                  <c:pt idx="6">
                    <c:v>Papelaria</c:v>
                  </c:pt>
                  <c:pt idx="7">
                    <c:v>Estudos </c:v>
                  </c:pt>
                  <c:pt idx="8">
                    <c:v>Outro</c:v>
                  </c:pt>
                </c:lvl>
                <c:lvl>
                  <c:pt idx="0">
                    <c:v>DESPESA</c:v>
                  </c:pt>
                </c:lvl>
              </c:multiLvlStrCache>
            </c:multiLvlStrRef>
          </c:cat>
          <c:val>
            <c:numRef>
              <c:f>Tabelas!$R$5:$R$14</c:f>
              <c:numCache>
                <c:formatCode>_-[$R$-416]\ * #,##0.00_-;\-[$R$-416]\ * #,##0.00_-;_-[$R$-416]\ * "-"??_-;_-@_-</c:formatCode>
                <c:ptCount val="9"/>
                <c:pt idx="0">
                  <c:v>53036.74</c:v>
                </c:pt>
                <c:pt idx="1">
                  <c:v>5945.3899999999994</c:v>
                </c:pt>
                <c:pt idx="2">
                  <c:v>701.47</c:v>
                </c:pt>
                <c:pt idx="3">
                  <c:v>415.82</c:v>
                </c:pt>
                <c:pt idx="4">
                  <c:v>146.33999999999997</c:v>
                </c:pt>
                <c:pt idx="5">
                  <c:v>85.6</c:v>
                </c:pt>
                <c:pt idx="6">
                  <c:v>52.5</c:v>
                </c:pt>
                <c:pt idx="7">
                  <c:v>49.9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0-4EE7-9124-E3B1FF77D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786462239"/>
        <c:axId val="803297023"/>
      </c:barChart>
      <c:catAx>
        <c:axId val="786462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297023"/>
        <c:crosses val="autoZero"/>
        <c:auto val="1"/>
        <c:lblAlgn val="ctr"/>
        <c:lblOffset val="100"/>
        <c:noMultiLvlLbl val="0"/>
      </c:catAx>
      <c:valAx>
        <c:axId val="803297023"/>
        <c:scaling>
          <c:orientation val="minMax"/>
        </c:scaling>
        <c:delete val="1"/>
        <c:axPos val="t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78646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dinâmica7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86010159777373"/>
          <c:y val="6.9841269841269843E-2"/>
          <c:w val="0.65696690352730303"/>
          <c:h val="0.679365079365079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Tabelas!$Q$30:$Q$31</c:f>
              <c:strCache>
                <c:ptCount val="1"/>
                <c:pt idx="0">
                  <c:v>Celular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Tabelas!$Q$32:$Q$39</c:f>
              <c:numCache>
                <c:formatCode>_-[$R$-416]\ * #,##0.00_-;\-[$R$-416]\ * #,##0.00_-;_-[$R$-416]\ * "-"??_-;_-@_-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4-4230-9F6C-8A10C515B9D9}"/>
            </c:ext>
          </c:extLst>
        </c:ser>
        <c:ser>
          <c:idx val="1"/>
          <c:order val="1"/>
          <c:tx>
            <c:strRef>
              <c:f>Tabelas!$R$30:$R$31</c:f>
              <c:strCache>
                <c:ptCount val="1"/>
                <c:pt idx="0">
                  <c:v>Cinema/Shows/Jogos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Tabelas!$R$32:$R$39</c:f>
              <c:numCache>
                <c:formatCode>_-[$R$-416]\ * #,##0.00_-;\-[$R$-416]\ * #,##0.00_-;_-[$R$-416]\ * "-"??_-;_-@_-</c:formatCode>
                <c:ptCount val="4"/>
                <c:pt idx="0">
                  <c:v>33.6</c:v>
                </c:pt>
                <c:pt idx="1">
                  <c:v>0</c:v>
                </c:pt>
                <c:pt idx="2">
                  <c:v>0</c:v>
                </c:pt>
                <c:pt idx="3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84-4230-9F6C-8A10C515B9D9}"/>
            </c:ext>
          </c:extLst>
        </c:ser>
        <c:ser>
          <c:idx val="2"/>
          <c:order val="2"/>
          <c:tx>
            <c:strRef>
              <c:f>Tabelas!$S$30:$S$31</c:f>
              <c:strCache>
                <c:ptCount val="1"/>
                <c:pt idx="0">
                  <c:v>Desconhecido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Tabelas!$S$32:$S$39</c:f>
              <c:numCache>
                <c:formatCode>_-[$R$-416]\ * #,##0.00_-;\-[$R$-416]\ * #,##0.00_-;_-[$R$-416]\ * "-"??_-;_-@_-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4-4230-9F6C-8A10C515B9D9}"/>
            </c:ext>
          </c:extLst>
        </c:ser>
        <c:ser>
          <c:idx val="3"/>
          <c:order val="3"/>
          <c:tx>
            <c:strRef>
              <c:f>Tabelas!$T$30:$T$31</c:f>
              <c:strCache>
                <c:ptCount val="1"/>
                <c:pt idx="0">
                  <c:v>Lanchonete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Tabelas!$T$32:$T$39</c:f>
              <c:numCache>
                <c:formatCode>_-[$R$-416]\ * #,##0.00_-;\-[$R$-416]\ * #,##0.00_-;_-[$R$-416]\ * "-"??_-;_-@_-</c:formatCode>
                <c:ptCount val="4"/>
                <c:pt idx="0">
                  <c:v>65</c:v>
                </c:pt>
                <c:pt idx="1">
                  <c:v>230.75</c:v>
                </c:pt>
                <c:pt idx="2">
                  <c:v>104.8</c:v>
                </c:pt>
                <c:pt idx="3">
                  <c:v>200.5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84-4230-9F6C-8A10C515B9D9}"/>
            </c:ext>
          </c:extLst>
        </c:ser>
        <c:ser>
          <c:idx val="4"/>
          <c:order val="4"/>
          <c:tx>
            <c:strRef>
              <c:f>Tabelas!$U$30:$U$31</c:f>
              <c:strCache>
                <c:ptCount val="1"/>
                <c:pt idx="0">
                  <c:v>Padaria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Tabelas!$U$32:$U$39</c:f>
              <c:numCache>
                <c:formatCode>_-[$R$-416]\ * #,##0.00_-;\-[$R$-416]\ * #,##0.00_-;_-[$R$-416]\ * "-"??_-;_-@_-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84-4230-9F6C-8A10C515B9D9}"/>
            </c:ext>
          </c:extLst>
        </c:ser>
        <c:ser>
          <c:idx val="5"/>
          <c:order val="5"/>
          <c:tx>
            <c:strRef>
              <c:f>Tabelas!$V$30:$V$31</c:f>
              <c:strCache>
                <c:ptCount val="1"/>
                <c:pt idx="0">
                  <c:v>Pagamento Fatura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Tabelas!$V$32:$V$39</c:f>
              <c:numCache>
                <c:formatCode>_-[$R$-416]\ * #,##0.00_-;\-[$R$-416]\ * #,##0.00_-;_-[$R$-416]\ * "-"??_-;_-@_-</c:formatCode>
                <c:ptCount val="4"/>
                <c:pt idx="0">
                  <c:v>60.6</c:v>
                </c:pt>
                <c:pt idx="1">
                  <c:v>334.9</c:v>
                </c:pt>
                <c:pt idx="2">
                  <c:v>392.2</c:v>
                </c:pt>
                <c:pt idx="3">
                  <c:v>434.59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84-4230-9F6C-8A10C515B9D9}"/>
            </c:ext>
          </c:extLst>
        </c:ser>
        <c:ser>
          <c:idx val="6"/>
          <c:order val="6"/>
          <c:tx>
            <c:strRef>
              <c:f>Tabelas!$W$30:$W$31</c:f>
              <c:strCache>
                <c:ptCount val="1"/>
                <c:pt idx="0">
                  <c:v>Restaurante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Tabelas!$W$32:$W$39</c:f>
              <c:numCache>
                <c:formatCode>_-[$R$-416]\ * #,##0.00_-;\-[$R$-416]\ * #,##0.00_-;_-[$R$-416]\ * "-"??_-;_-@_-</c:formatCode>
                <c:ptCount val="4"/>
                <c:pt idx="0">
                  <c:v>28.6</c:v>
                </c:pt>
                <c:pt idx="1">
                  <c:v>51.82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84-4230-9F6C-8A10C515B9D9}"/>
            </c:ext>
          </c:extLst>
        </c:ser>
        <c:ser>
          <c:idx val="7"/>
          <c:order val="7"/>
          <c:tx>
            <c:strRef>
              <c:f>Tabelas!$X$30:$X$31</c:f>
              <c:strCache>
                <c:ptCount val="1"/>
                <c:pt idx="0">
                  <c:v>Saque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Tabelas!$X$32:$X$39</c:f>
              <c:numCache>
                <c:formatCode>_-[$R$-416]\ * #,##0.00_-;\-[$R$-416]\ * #,##0.00_-;_-[$R$-416]\ * "-"??_-;_-@_-</c:formatCode>
                <c:ptCount val="4"/>
                <c:pt idx="0">
                  <c:v>2450</c:v>
                </c:pt>
                <c:pt idx="1">
                  <c:v>100</c:v>
                </c:pt>
                <c:pt idx="2">
                  <c:v>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84-4230-9F6C-8A10C515B9D9}"/>
            </c:ext>
          </c:extLst>
        </c:ser>
        <c:ser>
          <c:idx val="8"/>
          <c:order val="8"/>
          <c:tx>
            <c:strRef>
              <c:f>Tabelas!$Y$30:$Y$31</c:f>
              <c:strCache>
                <c:ptCount val="1"/>
                <c:pt idx="0">
                  <c:v>Transferencia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Tabelas!$Y$32:$Y$39</c:f>
              <c:numCache>
                <c:formatCode>_-[$R$-416]\ * #,##0.00_-;\-[$R$-416]\ * #,##0.00_-;_-[$R$-416]\ * "-"??_-;_-@_-</c:formatCode>
                <c:ptCount val="4"/>
                <c:pt idx="0">
                  <c:v>500</c:v>
                </c:pt>
                <c:pt idx="1">
                  <c:v>1802.17</c:v>
                </c:pt>
                <c:pt idx="2">
                  <c:v>42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84-4230-9F6C-8A10C515B9D9}"/>
            </c:ext>
          </c:extLst>
        </c:ser>
        <c:ser>
          <c:idx val="9"/>
          <c:order val="9"/>
          <c:tx>
            <c:strRef>
              <c:f>Tabelas!$Z$30:$Z$31</c:f>
              <c:strCache>
                <c:ptCount val="1"/>
                <c:pt idx="0">
                  <c:v>Manutenção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Tabelas!$Z$32:$Z$39</c:f>
              <c:numCache>
                <c:formatCode>_-[$R$-416]\ * #,##0.00_-;\-[$R$-416]\ * #,##0.00_-;_-[$R$-416]\ * "-"??_-;_-@_-</c:formatCode>
                <c:ptCount val="4"/>
                <c:pt idx="0">
                  <c:v>34.729999999999997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84-4230-9F6C-8A10C515B9D9}"/>
            </c:ext>
          </c:extLst>
        </c:ser>
        <c:ser>
          <c:idx val="10"/>
          <c:order val="10"/>
          <c:tx>
            <c:strRef>
              <c:f>Tabelas!$AA$30:$AA$31</c:f>
              <c:strCache>
                <c:ptCount val="1"/>
                <c:pt idx="0">
                  <c:v>Combustível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Tabelas!$AA$32:$AA$39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80</c:v>
                </c:pt>
                <c:pt idx="2">
                  <c:v>50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84-4230-9F6C-8A10C515B9D9}"/>
            </c:ext>
          </c:extLst>
        </c:ser>
        <c:ser>
          <c:idx val="11"/>
          <c:order val="11"/>
          <c:tx>
            <c:strRef>
              <c:f>Tabelas!$AB$30:$AB$31</c:f>
              <c:strCache>
                <c:ptCount val="1"/>
                <c:pt idx="0">
                  <c:v>Vestuário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Tabelas!$AB$32:$AB$39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84-4230-9F6C-8A10C515B9D9}"/>
            </c:ext>
          </c:extLst>
        </c:ser>
        <c:ser>
          <c:idx val="12"/>
          <c:order val="12"/>
          <c:tx>
            <c:strRef>
              <c:f>Tabelas!$AC$30:$AC$31</c:f>
              <c:strCache>
                <c:ptCount val="1"/>
                <c:pt idx="0">
                  <c:v>Impressões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Tabelas!$AC$32:$AC$39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52.5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484-4230-9F6C-8A10C515B9D9}"/>
            </c:ext>
          </c:extLst>
        </c:ser>
        <c:ser>
          <c:idx val="13"/>
          <c:order val="13"/>
          <c:tx>
            <c:strRef>
              <c:f>Tabelas!$AD$30:$AD$31</c:f>
              <c:strCache>
                <c:ptCount val="1"/>
                <c:pt idx="0">
                  <c:v>Financiamento 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Tabelas!$AD$32:$AD$39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707.7</c:v>
                </c:pt>
                <c:pt idx="2">
                  <c:v>707.7</c:v>
                </c:pt>
                <c:pt idx="3">
                  <c:v>707.7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484-4230-9F6C-8A10C515B9D9}"/>
            </c:ext>
          </c:extLst>
        </c:ser>
        <c:ser>
          <c:idx val="14"/>
          <c:order val="14"/>
          <c:tx>
            <c:strRef>
              <c:f>Tabelas!$AE$30:$AE$31</c:f>
              <c:strCache>
                <c:ptCount val="1"/>
                <c:pt idx="0">
                  <c:v>IPVA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Tabelas!$AE$32:$AE$39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151.09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484-4230-9F6C-8A10C515B9D9}"/>
            </c:ext>
          </c:extLst>
        </c:ser>
        <c:ser>
          <c:idx val="15"/>
          <c:order val="15"/>
          <c:tx>
            <c:strRef>
              <c:f>Tabelas!$AF$30:$AF$31</c:f>
              <c:strCache>
                <c:ptCount val="1"/>
                <c:pt idx="0">
                  <c:v>Viagens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Tabelas!$AF$32:$AF$39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166.86</c:v>
                </c:pt>
                <c:pt idx="2">
                  <c:v>0</c:v>
                </c:pt>
                <c:pt idx="3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484-4230-9F6C-8A10C515B9D9}"/>
            </c:ext>
          </c:extLst>
        </c:ser>
        <c:ser>
          <c:idx val="16"/>
          <c:order val="16"/>
          <c:tx>
            <c:strRef>
              <c:f>Tabelas!$AG$30:$AG$31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Tabelas!$AG$32:$AG$39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213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484-4230-9F6C-8A10C515B9D9}"/>
            </c:ext>
          </c:extLst>
        </c:ser>
        <c:ser>
          <c:idx val="17"/>
          <c:order val="17"/>
          <c:tx>
            <c:strRef>
              <c:f>Tabelas!$AH$30:$AH$31</c:f>
              <c:strCache>
                <c:ptCount val="1"/>
                <c:pt idx="0">
                  <c:v>Fármacia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Tabelas!$AH$32:$AH$39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29.79</c:v>
                </c:pt>
                <c:pt idx="2">
                  <c:v>44.86</c:v>
                </c:pt>
                <c:pt idx="3">
                  <c:v>71.69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484-4230-9F6C-8A10C515B9D9}"/>
            </c:ext>
          </c:extLst>
        </c:ser>
        <c:ser>
          <c:idx val="18"/>
          <c:order val="18"/>
          <c:tx>
            <c:strRef>
              <c:f>Tabelas!$AI$30:$AI$31</c:f>
              <c:strCache>
                <c:ptCount val="1"/>
                <c:pt idx="0">
                  <c:v>Higiene Pessoal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Tabelas!$AI$32:$AI$39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484-4230-9F6C-8A10C515B9D9}"/>
            </c:ext>
          </c:extLst>
        </c:ser>
        <c:ser>
          <c:idx val="19"/>
          <c:order val="19"/>
          <c:tx>
            <c:strRef>
              <c:f>Tabelas!$AJ$30:$AJ$31</c:f>
              <c:strCache>
                <c:ptCount val="1"/>
                <c:pt idx="0">
                  <c:v>Festa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Tabelas!$AJ$32:$AJ$39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74.709999999999994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484-4230-9F6C-8A10C515B9D9}"/>
            </c:ext>
          </c:extLst>
        </c:ser>
        <c:ser>
          <c:idx val="20"/>
          <c:order val="20"/>
          <c:tx>
            <c:strRef>
              <c:f>Tabelas!$AK$30:$AK$31</c:f>
              <c:strCache>
                <c:ptCount val="1"/>
                <c:pt idx="0">
                  <c:v>Faculdade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Tabelas!$AK$32:$AK$39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484-4230-9F6C-8A10C515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4009663"/>
        <c:axId val="801207103"/>
      </c:barChart>
      <c:catAx>
        <c:axId val="81400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07103"/>
        <c:crosses val="autoZero"/>
        <c:auto val="1"/>
        <c:lblAlgn val="ctr"/>
        <c:lblOffset val="100"/>
        <c:noMultiLvlLbl val="0"/>
      </c:catAx>
      <c:valAx>
        <c:axId val="80120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00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svg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svg"/><Relationship Id="rId10" Type="http://schemas.openxmlformats.org/officeDocument/2006/relationships/chart" Target="../charts/chart6.xml"/><Relationship Id="rId4" Type="http://schemas.openxmlformats.org/officeDocument/2006/relationships/image" Target="../media/image3.png"/><Relationship Id="rId9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285749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">
              <a:extLst>
                <a:ext uri="{FF2B5EF4-FFF2-40B4-BE49-F238E27FC236}">
                  <a16:creationId xmlns:a16="http://schemas.microsoft.com/office/drawing/2014/main" id="{8A1A971F-93CA-BDF3-A1D7-5FE887DF82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009774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323849</xdr:colOff>
      <xdr:row>0</xdr:row>
      <xdr:rowOff>0</xdr:rowOff>
    </xdr:from>
    <xdr:to>
      <xdr:col>3</xdr:col>
      <xdr:colOff>676275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RI">
              <a:extLst>
                <a:ext uri="{FF2B5EF4-FFF2-40B4-BE49-F238E27FC236}">
                  <a16:creationId xmlns:a16="http://schemas.microsoft.com/office/drawing/2014/main" id="{3DF997A9-A89C-3FFC-D332-5D0436D238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7874" y="0"/>
              <a:ext cx="2314576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704850</xdr:colOff>
      <xdr:row>0</xdr:row>
      <xdr:rowOff>9525</xdr:rowOff>
    </xdr:from>
    <xdr:to>
      <xdr:col>12</xdr:col>
      <xdr:colOff>247650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">
              <a:extLst>
                <a:ext uri="{FF2B5EF4-FFF2-40B4-BE49-F238E27FC236}">
                  <a16:creationId xmlns:a16="http://schemas.microsoft.com/office/drawing/2014/main" id="{967D6CD4-B9CB-3685-BFF5-ACDE58886F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91025" y="9525"/>
              <a:ext cx="5524500" cy="619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323850</xdr:colOff>
      <xdr:row>0</xdr:row>
      <xdr:rowOff>50292</xdr:rowOff>
    </xdr:from>
    <xdr:to>
      <xdr:col>20</xdr:col>
      <xdr:colOff>461010</xdr:colOff>
      <xdr:row>0</xdr:row>
      <xdr:rowOff>187452</xdr:rowOff>
    </xdr:to>
    <xdr:sp macro="[0]!Apresentar_on" textlink="">
      <xdr:nvSpPr>
        <xdr:cNvPr id="2" name="Retângulo 1">
          <a:extLst>
            <a:ext uri="{FF2B5EF4-FFF2-40B4-BE49-F238E27FC236}">
              <a16:creationId xmlns:a16="http://schemas.microsoft.com/office/drawing/2014/main" id="{73547F66-85C6-86BF-A65D-90B00C6957C9}"/>
            </a:ext>
          </a:extLst>
        </xdr:cNvPr>
        <xdr:cNvSpPr/>
      </xdr:nvSpPr>
      <xdr:spPr>
        <a:xfrm>
          <a:off x="12515850" y="50292"/>
          <a:ext cx="137160" cy="137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114300</xdr:colOff>
      <xdr:row>0</xdr:row>
      <xdr:rowOff>160020</xdr:rowOff>
    </xdr:from>
    <xdr:to>
      <xdr:col>20</xdr:col>
      <xdr:colOff>251460</xdr:colOff>
      <xdr:row>0</xdr:row>
      <xdr:rowOff>187452</xdr:rowOff>
    </xdr:to>
    <xdr:sp macro="[0]!Apresentar_off" textlink="">
      <xdr:nvSpPr>
        <xdr:cNvPr id="3" name="Retângulo 2">
          <a:extLst>
            <a:ext uri="{FF2B5EF4-FFF2-40B4-BE49-F238E27FC236}">
              <a16:creationId xmlns:a16="http://schemas.microsoft.com/office/drawing/2014/main" id="{194A37FE-7056-449A-9FB5-ADD53B6EF588}"/>
            </a:ext>
          </a:extLst>
        </xdr:cNvPr>
        <xdr:cNvSpPr/>
      </xdr:nvSpPr>
      <xdr:spPr>
        <a:xfrm>
          <a:off x="12306300" y="160020"/>
          <a:ext cx="137160" cy="2743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590550</xdr:colOff>
      <xdr:row>2</xdr:row>
      <xdr:rowOff>9525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589BF13-23C6-4DB1-161D-F35F790FB15F}"/>
            </a:ext>
          </a:extLst>
        </xdr:cNvPr>
        <xdr:cNvSpPr txBox="1"/>
      </xdr:nvSpPr>
      <xdr:spPr>
        <a:xfrm>
          <a:off x="0" y="0"/>
          <a:ext cx="6076950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tx1">
                  <a:lumMod val="75000"/>
                  <a:lumOff val="25000"/>
                </a:schemeClr>
              </a:solidFill>
            </a:rPr>
            <a:t>Análise das</a:t>
          </a:r>
          <a:r>
            <a:rPr lang="en-US" sz="3200" b="1" baseline="0">
              <a:solidFill>
                <a:schemeClr val="tx1">
                  <a:lumMod val="75000"/>
                  <a:lumOff val="25000"/>
                </a:schemeClr>
              </a:solidFill>
            </a:rPr>
            <a:t> Finanças Pessoais </a:t>
          </a:r>
          <a:endParaRPr lang="en-US" sz="32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133350</xdr:colOff>
      <xdr:row>24</xdr:row>
      <xdr:rowOff>95250</xdr:rowOff>
    </xdr:from>
    <xdr:to>
      <xdr:col>3</xdr:col>
      <xdr:colOff>206502</xdr:colOff>
      <xdr:row>33</xdr:row>
      <xdr:rowOff>57149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ESCRICAO">
              <a:extLst>
                <a:ext uri="{FF2B5EF4-FFF2-40B4-BE49-F238E27FC236}">
                  <a16:creationId xmlns:a16="http://schemas.microsoft.com/office/drawing/2014/main" id="{4DD0991C-F743-4763-94FC-4633421A79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C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4667250"/>
              <a:ext cx="1901952" cy="1676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97971</xdr:colOff>
      <xdr:row>16</xdr:row>
      <xdr:rowOff>142876</xdr:rowOff>
    </xdr:from>
    <xdr:to>
      <xdr:col>3</xdr:col>
      <xdr:colOff>171123</xdr:colOff>
      <xdr:row>24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ATEGORIA ">
              <a:extLst>
                <a:ext uri="{FF2B5EF4-FFF2-40B4-BE49-F238E27FC236}">
                  <a16:creationId xmlns:a16="http://schemas.microsoft.com/office/drawing/2014/main" id="{A794C029-6BCB-443D-8D5A-3CFBAA169F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971" y="3190876"/>
              <a:ext cx="1901952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2</xdr:row>
      <xdr:rowOff>38101</xdr:rowOff>
    </xdr:from>
    <xdr:to>
      <xdr:col>3</xdr:col>
      <xdr:colOff>168402</xdr:colOff>
      <xdr:row>5</xdr:row>
      <xdr:rowOff>124969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NO 1">
              <a:extLst>
                <a:ext uri="{FF2B5EF4-FFF2-40B4-BE49-F238E27FC236}">
                  <a16:creationId xmlns:a16="http://schemas.microsoft.com/office/drawing/2014/main" id="{2F7C061A-8AE5-4291-9DAF-C5EE94B963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419101"/>
              <a:ext cx="1901952" cy="658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95249</xdr:colOff>
      <xdr:row>11</xdr:row>
      <xdr:rowOff>175532</xdr:rowOff>
    </xdr:from>
    <xdr:to>
      <xdr:col>3</xdr:col>
      <xdr:colOff>168401</xdr:colOff>
      <xdr:row>16</xdr:row>
      <xdr:rowOff>119144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TRI 1">
              <a:extLst>
                <a:ext uri="{FF2B5EF4-FFF2-40B4-BE49-F238E27FC236}">
                  <a16:creationId xmlns:a16="http://schemas.microsoft.com/office/drawing/2014/main" id="{30D98ABC-3959-4376-960C-228B3736A4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9" y="2271032"/>
              <a:ext cx="1901952" cy="8961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96611</xdr:colOff>
      <xdr:row>5</xdr:row>
      <xdr:rowOff>142875</xdr:rowOff>
    </xdr:from>
    <xdr:to>
      <xdr:col>3</xdr:col>
      <xdr:colOff>169763</xdr:colOff>
      <xdr:row>11</xdr:row>
      <xdr:rowOff>161163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ÊS 1">
              <a:extLst>
                <a:ext uri="{FF2B5EF4-FFF2-40B4-BE49-F238E27FC236}">
                  <a16:creationId xmlns:a16="http://schemas.microsoft.com/office/drawing/2014/main" id="{6E1B991D-2AE7-4276-805C-9F540433A7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11" y="1095375"/>
              <a:ext cx="1901952" cy="11612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504824</xdr:colOff>
      <xdr:row>2</xdr:row>
      <xdr:rowOff>104775</xdr:rowOff>
    </xdr:from>
    <xdr:to>
      <xdr:col>6</xdr:col>
      <xdr:colOff>65912</xdr:colOff>
      <xdr:row>6</xdr:row>
      <xdr:rowOff>161925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40D6310C-4C0C-9659-86DB-953AE1D5E6A4}"/>
            </a:ext>
          </a:extLst>
        </xdr:cNvPr>
        <xdr:cNvSpPr/>
      </xdr:nvSpPr>
      <xdr:spPr>
        <a:xfrm>
          <a:off x="2333624" y="485775"/>
          <a:ext cx="1389888" cy="8191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</a:rPr>
            <a:t>RECEITA</a:t>
          </a:r>
        </a:p>
      </xdr:txBody>
    </xdr:sp>
    <xdr:clientData/>
  </xdr:twoCellAnchor>
  <xdr:twoCellAnchor>
    <xdr:from>
      <xdr:col>6</xdr:col>
      <xdr:colOff>147637</xdr:colOff>
      <xdr:row>2</xdr:row>
      <xdr:rowOff>104775</xdr:rowOff>
    </xdr:from>
    <xdr:to>
      <xdr:col>8</xdr:col>
      <xdr:colOff>318325</xdr:colOff>
      <xdr:row>6</xdr:row>
      <xdr:rowOff>161925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EF562D2A-0D7E-AA08-A6BE-B445A5C9B5D0}"/>
            </a:ext>
          </a:extLst>
        </xdr:cNvPr>
        <xdr:cNvSpPr/>
      </xdr:nvSpPr>
      <xdr:spPr>
        <a:xfrm>
          <a:off x="3805237" y="485775"/>
          <a:ext cx="1389888" cy="8191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</a:rPr>
            <a:t>DESPESA</a:t>
          </a:r>
        </a:p>
      </xdr:txBody>
    </xdr:sp>
    <xdr:clientData/>
  </xdr:twoCellAnchor>
  <xdr:twoCellAnchor>
    <xdr:from>
      <xdr:col>8</xdr:col>
      <xdr:colOff>400050</xdr:colOff>
      <xdr:row>2</xdr:row>
      <xdr:rowOff>104775</xdr:rowOff>
    </xdr:from>
    <xdr:to>
      <xdr:col>10</xdr:col>
      <xdr:colOff>570738</xdr:colOff>
      <xdr:row>6</xdr:row>
      <xdr:rowOff>161925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6CCB544F-8F13-93F4-32B8-36272D436ACB}"/>
            </a:ext>
          </a:extLst>
        </xdr:cNvPr>
        <xdr:cNvSpPr/>
      </xdr:nvSpPr>
      <xdr:spPr>
        <a:xfrm>
          <a:off x="5276850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</a:rPr>
            <a:t>SALDO</a:t>
          </a:r>
        </a:p>
      </xdr:txBody>
    </xdr:sp>
    <xdr:clientData/>
  </xdr:twoCellAnchor>
  <xdr:twoCellAnchor>
    <xdr:from>
      <xdr:col>11</xdr:col>
      <xdr:colOff>42863</xdr:colOff>
      <xdr:row>2</xdr:row>
      <xdr:rowOff>104775</xdr:rowOff>
    </xdr:from>
    <xdr:to>
      <xdr:col>13</xdr:col>
      <xdr:colOff>213551</xdr:colOff>
      <xdr:row>6</xdr:row>
      <xdr:rowOff>161925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1E235538-60CB-5100-D314-CC44AAC4E301}"/>
            </a:ext>
          </a:extLst>
        </xdr:cNvPr>
        <xdr:cNvSpPr/>
      </xdr:nvSpPr>
      <xdr:spPr>
        <a:xfrm>
          <a:off x="6748463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1° TRI</a:t>
          </a:r>
          <a:endParaRPr lang="en-US" sz="1800" b="1">
            <a:solidFill>
              <a:schemeClr val="tx1">
                <a:lumMod val="75000"/>
                <a:lumOff val="25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15</xdr:col>
      <xdr:colOff>465963</xdr:colOff>
      <xdr:row>6</xdr:row>
      <xdr:rowOff>161925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2D605937-4727-3B7E-2962-7785362116E7}"/>
            </a:ext>
          </a:extLst>
        </xdr:cNvPr>
        <xdr:cNvSpPr/>
      </xdr:nvSpPr>
      <xdr:spPr>
        <a:xfrm>
          <a:off x="8220075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2° TRI</a:t>
          </a:r>
        </a:p>
      </xdr:txBody>
    </xdr:sp>
    <xdr:clientData/>
  </xdr:twoCellAnchor>
  <xdr:twoCellAnchor>
    <xdr:from>
      <xdr:col>15</xdr:col>
      <xdr:colOff>547687</xdr:colOff>
      <xdr:row>2</xdr:row>
      <xdr:rowOff>104775</xdr:rowOff>
    </xdr:from>
    <xdr:to>
      <xdr:col>18</xdr:col>
      <xdr:colOff>108775</xdr:colOff>
      <xdr:row>6</xdr:row>
      <xdr:rowOff>161925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8A847447-C86E-18C8-DC15-C352C48771D4}"/>
            </a:ext>
          </a:extLst>
        </xdr:cNvPr>
        <xdr:cNvSpPr/>
      </xdr:nvSpPr>
      <xdr:spPr>
        <a:xfrm>
          <a:off x="9691687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3° TRI</a:t>
          </a:r>
          <a:endParaRPr lang="en-US" sz="1800" b="1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algn="l"/>
          <a:endParaRPr lang="en-US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18</xdr:col>
      <xdr:colOff>190499</xdr:colOff>
      <xdr:row>2</xdr:row>
      <xdr:rowOff>104775</xdr:rowOff>
    </xdr:from>
    <xdr:to>
      <xdr:col>20</xdr:col>
      <xdr:colOff>361187</xdr:colOff>
      <xdr:row>6</xdr:row>
      <xdr:rowOff>161925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67148840-BA63-794B-3CA2-F5DA72BF65D2}"/>
            </a:ext>
          </a:extLst>
        </xdr:cNvPr>
        <xdr:cNvSpPr/>
      </xdr:nvSpPr>
      <xdr:spPr>
        <a:xfrm>
          <a:off x="11163299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4° TRI</a:t>
          </a:r>
          <a:endParaRPr lang="en-US" sz="1800" b="1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algn="l"/>
          <a:endParaRPr lang="en-US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13</xdr:col>
      <xdr:colOff>342899</xdr:colOff>
      <xdr:row>7</xdr:row>
      <xdr:rowOff>133350</xdr:rowOff>
    </xdr:from>
    <xdr:to>
      <xdr:col>15</xdr:col>
      <xdr:colOff>504443</xdr:colOff>
      <xdr:row>19</xdr:row>
      <xdr:rowOff>179070</xdr:rowOff>
    </xdr:to>
    <xdr:sp macro="" textlink="">
      <xdr:nvSpPr>
        <xdr:cNvPr id="5120" name="Retângulo: Cantos Arredondados 5119">
          <a:extLst>
            <a:ext uri="{FF2B5EF4-FFF2-40B4-BE49-F238E27FC236}">
              <a16:creationId xmlns:a16="http://schemas.microsoft.com/office/drawing/2014/main" id="{1828BBA6-D047-9F02-D45B-05AF679E9A85}"/>
            </a:ext>
          </a:extLst>
        </xdr:cNvPr>
        <xdr:cNvSpPr/>
      </xdr:nvSpPr>
      <xdr:spPr>
        <a:xfrm>
          <a:off x="8267699" y="1466850"/>
          <a:ext cx="1380744" cy="23317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533399</xdr:colOff>
      <xdr:row>7</xdr:row>
      <xdr:rowOff>161925</xdr:rowOff>
    </xdr:from>
    <xdr:to>
      <xdr:col>6</xdr:col>
      <xdr:colOff>94487</xdr:colOff>
      <xdr:row>20</xdr:row>
      <xdr:rowOff>17145</xdr:rowOff>
    </xdr:to>
    <xdr:sp macro="" textlink="">
      <xdr:nvSpPr>
        <xdr:cNvPr id="5122" name="Retângulo: Cantos Arredondados 5121">
          <a:extLst>
            <a:ext uri="{FF2B5EF4-FFF2-40B4-BE49-F238E27FC236}">
              <a16:creationId xmlns:a16="http://schemas.microsoft.com/office/drawing/2014/main" id="{EE91D085-3F23-8F0A-AF80-2742F96CC6CA}"/>
            </a:ext>
          </a:extLst>
        </xdr:cNvPr>
        <xdr:cNvSpPr/>
      </xdr:nvSpPr>
      <xdr:spPr>
        <a:xfrm>
          <a:off x="2362199" y="1495425"/>
          <a:ext cx="1389888" cy="23317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</a:t>
          </a:r>
        </a:p>
      </xdr:txBody>
    </xdr:sp>
    <xdr:clientData/>
  </xdr:twoCellAnchor>
  <xdr:twoCellAnchor>
    <xdr:from>
      <xdr:col>6</xdr:col>
      <xdr:colOff>209549</xdr:colOff>
      <xdr:row>7</xdr:row>
      <xdr:rowOff>142875</xdr:rowOff>
    </xdr:from>
    <xdr:to>
      <xdr:col>13</xdr:col>
      <xdr:colOff>257175</xdr:colOff>
      <xdr:row>19</xdr:row>
      <xdr:rowOff>188595</xdr:rowOff>
    </xdr:to>
    <xdr:sp macro="" textlink="">
      <xdr:nvSpPr>
        <xdr:cNvPr id="5123" name="Retângulo: Cantos Arredondados 5122">
          <a:extLst>
            <a:ext uri="{FF2B5EF4-FFF2-40B4-BE49-F238E27FC236}">
              <a16:creationId xmlns:a16="http://schemas.microsoft.com/office/drawing/2014/main" id="{008EA4AA-42EA-3590-1F59-34CFE34F462E}"/>
            </a:ext>
          </a:extLst>
        </xdr:cNvPr>
        <xdr:cNvSpPr/>
      </xdr:nvSpPr>
      <xdr:spPr>
        <a:xfrm>
          <a:off x="3867149" y="1476375"/>
          <a:ext cx="4314826" cy="2331720"/>
        </a:xfrm>
        <a:prstGeom prst="roundRect">
          <a:avLst>
            <a:gd name="adj" fmla="val 1120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RECEITA, DESPESA E SALDO POR MÊS</a:t>
          </a:r>
        </a:p>
      </xdr:txBody>
    </xdr:sp>
    <xdr:clientData/>
  </xdr:twoCellAnchor>
  <xdr:twoCellAnchor>
    <xdr:from>
      <xdr:col>3</xdr:col>
      <xdr:colOff>438150</xdr:colOff>
      <xdr:row>20</xdr:row>
      <xdr:rowOff>152400</xdr:rowOff>
    </xdr:from>
    <xdr:to>
      <xdr:col>9</xdr:col>
      <xdr:colOff>323850</xdr:colOff>
      <xdr:row>33</xdr:row>
      <xdr:rowOff>7620</xdr:rowOff>
    </xdr:to>
    <xdr:sp macro="" textlink="">
      <xdr:nvSpPr>
        <xdr:cNvPr id="5124" name="Retângulo: Cantos Arredondados 5123">
          <a:extLst>
            <a:ext uri="{FF2B5EF4-FFF2-40B4-BE49-F238E27FC236}">
              <a16:creationId xmlns:a16="http://schemas.microsoft.com/office/drawing/2014/main" id="{D2FD7316-0081-4F8C-8209-8EB4471BCB33}"/>
            </a:ext>
          </a:extLst>
        </xdr:cNvPr>
        <xdr:cNvSpPr/>
      </xdr:nvSpPr>
      <xdr:spPr>
        <a:xfrm>
          <a:off x="2266950" y="3962400"/>
          <a:ext cx="3543300" cy="2331720"/>
        </a:xfrm>
        <a:prstGeom prst="roundRect">
          <a:avLst>
            <a:gd name="adj" fmla="val 1120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DESPESA POR CATEGORIA</a:t>
          </a:r>
        </a:p>
      </xdr:txBody>
    </xdr:sp>
    <xdr:clientData/>
  </xdr:twoCellAnchor>
  <xdr:twoCellAnchor>
    <xdr:from>
      <xdr:col>9</xdr:col>
      <xdr:colOff>400050</xdr:colOff>
      <xdr:row>20</xdr:row>
      <xdr:rowOff>161925</xdr:rowOff>
    </xdr:from>
    <xdr:to>
      <xdr:col>20</xdr:col>
      <xdr:colOff>333376</xdr:colOff>
      <xdr:row>33</xdr:row>
      <xdr:rowOff>17145</xdr:rowOff>
    </xdr:to>
    <xdr:sp macro="" textlink="">
      <xdr:nvSpPr>
        <xdr:cNvPr id="5125" name="Retângulo: Cantos Arredondados 5124">
          <a:extLst>
            <a:ext uri="{FF2B5EF4-FFF2-40B4-BE49-F238E27FC236}">
              <a16:creationId xmlns:a16="http://schemas.microsoft.com/office/drawing/2014/main" id="{26DF5823-142B-4EE9-B750-DBCBBA39AF5A}"/>
            </a:ext>
          </a:extLst>
        </xdr:cNvPr>
        <xdr:cNvSpPr/>
      </xdr:nvSpPr>
      <xdr:spPr>
        <a:xfrm>
          <a:off x="5886450" y="3971925"/>
          <a:ext cx="6638926" cy="2331720"/>
        </a:xfrm>
        <a:prstGeom prst="roundRect">
          <a:avLst>
            <a:gd name="adj" fmla="val 1120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DESPESA DETALHADA POR MÊS</a:t>
          </a:r>
        </a:p>
      </xdr:txBody>
    </xdr:sp>
    <xdr:clientData/>
  </xdr:twoCellAnchor>
  <xdr:oneCellAnchor>
    <xdr:from>
      <xdr:col>9</xdr:col>
      <xdr:colOff>466725</xdr:colOff>
      <xdr:row>0</xdr:row>
      <xdr:rowOff>95250</xdr:rowOff>
    </xdr:from>
    <xdr:ext cx="184731" cy="233397"/>
    <xdr:sp macro="" textlink="">
      <xdr:nvSpPr>
        <xdr:cNvPr id="5127" name="CaixaDeTexto 5126">
          <a:extLst>
            <a:ext uri="{FF2B5EF4-FFF2-40B4-BE49-F238E27FC236}">
              <a16:creationId xmlns:a16="http://schemas.microsoft.com/office/drawing/2014/main" id="{6B9403E4-FA76-6CDC-977B-B95A1830481E}"/>
            </a:ext>
          </a:extLst>
        </xdr:cNvPr>
        <xdr:cNvSpPr txBox="1"/>
      </xdr:nvSpPr>
      <xdr:spPr>
        <a:xfrm>
          <a:off x="5953125" y="95250"/>
          <a:ext cx="184731" cy="2333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57149</xdr:colOff>
      <xdr:row>4</xdr:row>
      <xdr:rowOff>180975</xdr:rowOff>
    </xdr:from>
    <xdr:ext cx="1190625" cy="309597"/>
    <xdr:sp macro="" textlink="Tabelas!B2">
      <xdr:nvSpPr>
        <xdr:cNvPr id="5128" name="CaixaDeTexto 5127">
          <a:extLst>
            <a:ext uri="{FF2B5EF4-FFF2-40B4-BE49-F238E27FC236}">
              <a16:creationId xmlns:a16="http://schemas.microsoft.com/office/drawing/2014/main" id="{1E7827D1-DDCE-EED1-28F7-4CA007C56A40}"/>
            </a:ext>
          </a:extLst>
        </xdr:cNvPr>
        <xdr:cNvSpPr txBox="1"/>
      </xdr:nvSpPr>
      <xdr:spPr>
        <a:xfrm>
          <a:off x="2495549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DC1E7159-0A84-4E17-AE8C-5C35FD06ADFA}" type="TxLink">
            <a:rPr lang="en-US" sz="1600" b="1" i="0" u="none" strike="noStrike">
              <a:solidFill>
                <a:srgbClr val="000000"/>
              </a:solidFill>
              <a:latin typeface="Aveny T WEB"/>
            </a:rPr>
            <a:t> R$ 107,972.42 </a:t>
          </a:fld>
          <a:endParaRPr lang="en-US" sz="1600" b="1"/>
        </a:p>
      </xdr:txBody>
    </xdr:sp>
    <xdr:clientData/>
  </xdr:oneCellAnchor>
  <xdr:oneCellAnchor>
    <xdr:from>
      <xdr:col>6</xdr:col>
      <xdr:colOff>180975</xdr:colOff>
      <xdr:row>4</xdr:row>
      <xdr:rowOff>180975</xdr:rowOff>
    </xdr:from>
    <xdr:ext cx="1352550" cy="309597"/>
    <xdr:sp macro="" textlink="Tabelas!B3">
      <xdr:nvSpPr>
        <xdr:cNvPr id="5129" name="CaixaDeTexto 5128">
          <a:extLst>
            <a:ext uri="{FF2B5EF4-FFF2-40B4-BE49-F238E27FC236}">
              <a16:creationId xmlns:a16="http://schemas.microsoft.com/office/drawing/2014/main" id="{E879129F-F767-7EF7-9CA3-6C0253D2B187}"/>
            </a:ext>
          </a:extLst>
        </xdr:cNvPr>
        <xdr:cNvSpPr txBox="1"/>
      </xdr:nvSpPr>
      <xdr:spPr>
        <a:xfrm>
          <a:off x="3838575" y="942975"/>
          <a:ext cx="1352550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5C9366BD-2620-4F8C-B956-1813CFA0EA1D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-R$ 60,435.76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28574</xdr:colOff>
      <xdr:row>4</xdr:row>
      <xdr:rowOff>180975</xdr:rowOff>
    </xdr:from>
    <xdr:ext cx="1190625" cy="309597"/>
    <xdr:sp macro="" textlink="Tabelas!B4">
      <xdr:nvSpPr>
        <xdr:cNvPr id="5130" name="CaixaDeTexto 5129">
          <a:extLst>
            <a:ext uri="{FF2B5EF4-FFF2-40B4-BE49-F238E27FC236}">
              <a16:creationId xmlns:a16="http://schemas.microsoft.com/office/drawing/2014/main" id="{C612E047-96B0-BA85-39BD-DB91C0972841}"/>
            </a:ext>
          </a:extLst>
        </xdr:cNvPr>
        <xdr:cNvSpPr txBox="1"/>
      </xdr:nvSpPr>
      <xdr:spPr>
        <a:xfrm>
          <a:off x="5514974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C26CFD2C-260F-419F-8EE7-75E5B7F389CF}" type="TxLink">
            <a:rPr lang="en-US" sz="16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 R$ 47,536.66 </a:t>
          </a:fld>
          <a:endParaRPr lang="en-US" sz="16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16</xdr:col>
      <xdr:colOff>123824</xdr:colOff>
      <xdr:row>4</xdr:row>
      <xdr:rowOff>180975</xdr:rowOff>
    </xdr:from>
    <xdr:ext cx="1190625" cy="309597"/>
    <xdr:sp macro="" textlink="Tabelas!E10">
      <xdr:nvSpPr>
        <xdr:cNvPr id="5133" name="CaixaDeTexto 5132">
          <a:extLst>
            <a:ext uri="{FF2B5EF4-FFF2-40B4-BE49-F238E27FC236}">
              <a16:creationId xmlns:a16="http://schemas.microsoft.com/office/drawing/2014/main" id="{297BF829-81FC-E34C-EBDD-094A5276F1FB}"/>
            </a:ext>
          </a:extLst>
        </xdr:cNvPr>
        <xdr:cNvSpPr txBox="1"/>
      </xdr:nvSpPr>
      <xdr:spPr>
        <a:xfrm>
          <a:off x="9877424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64DD8980-24D7-4E58-B5E2-9D00ACF09817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-R$ 1,259.54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18</xdr:col>
      <xdr:colOff>342899</xdr:colOff>
      <xdr:row>4</xdr:row>
      <xdr:rowOff>180975</xdr:rowOff>
    </xdr:from>
    <xdr:ext cx="1190625" cy="309597"/>
    <xdr:sp macro="" textlink="Tabelas!E11">
      <xdr:nvSpPr>
        <xdr:cNvPr id="5134" name="CaixaDeTexto 5133">
          <a:extLst>
            <a:ext uri="{FF2B5EF4-FFF2-40B4-BE49-F238E27FC236}">
              <a16:creationId xmlns:a16="http://schemas.microsoft.com/office/drawing/2014/main" id="{F1C64AC1-5449-6DA8-5D47-95F3C8C5B8DB}"/>
            </a:ext>
          </a:extLst>
        </xdr:cNvPr>
        <xdr:cNvSpPr txBox="1"/>
      </xdr:nvSpPr>
      <xdr:spPr>
        <a:xfrm>
          <a:off x="11315699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14EA6672-509A-4922-A8BE-3D69C7BD4DF2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 R$ 48,796.20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twoCellAnchor>
    <xdr:from>
      <xdr:col>3</xdr:col>
      <xdr:colOff>533399</xdr:colOff>
      <xdr:row>7</xdr:row>
      <xdr:rowOff>190499</xdr:rowOff>
    </xdr:from>
    <xdr:to>
      <xdr:col>6</xdr:col>
      <xdr:colOff>85725</xdr:colOff>
      <xdr:row>20</xdr:row>
      <xdr:rowOff>47624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5012B3-66CA-41A9-BC25-3C01DF1C6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578626</xdr:colOff>
      <xdr:row>8</xdr:row>
      <xdr:rowOff>28575</xdr:rowOff>
    </xdr:from>
    <xdr:to>
      <xdr:col>4</xdr:col>
      <xdr:colOff>473851</xdr:colOff>
      <xdr:row>10</xdr:row>
      <xdr:rowOff>152400</xdr:rowOff>
    </xdr:to>
    <xdr:pic>
      <xdr:nvPicPr>
        <xdr:cNvPr id="7" name="Gráfico 6" descr="Empréstimo com preenchimento sólido">
          <a:extLst>
            <a:ext uri="{FF2B5EF4-FFF2-40B4-BE49-F238E27FC236}">
              <a16:creationId xmlns:a16="http://schemas.microsoft.com/office/drawing/2014/main" id="{B31E0D7F-3D8F-6AB9-EC8C-5B4D583E1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407426" y="155257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3</xdr:col>
      <xdr:colOff>578626</xdr:colOff>
      <xdr:row>17</xdr:row>
      <xdr:rowOff>76200</xdr:rowOff>
    </xdr:from>
    <xdr:to>
      <xdr:col>4</xdr:col>
      <xdr:colOff>473852</xdr:colOff>
      <xdr:row>19</xdr:row>
      <xdr:rowOff>146115</xdr:rowOff>
    </xdr:to>
    <xdr:pic>
      <xdr:nvPicPr>
        <xdr:cNvPr id="9" name="Gráfico 8" descr="Dinheiro voador com preenchimento sólido">
          <a:extLst>
            <a:ext uri="{FF2B5EF4-FFF2-40B4-BE49-F238E27FC236}">
              <a16:creationId xmlns:a16="http://schemas.microsoft.com/office/drawing/2014/main" id="{497F5A87-EFA1-700A-1FD1-A54CBC830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07426" y="3314700"/>
          <a:ext cx="504826" cy="450915"/>
        </a:xfrm>
        <a:prstGeom prst="rect">
          <a:avLst/>
        </a:prstGeom>
      </xdr:spPr>
    </xdr:pic>
    <xdr:clientData/>
  </xdr:twoCellAnchor>
  <xdr:oneCellAnchor>
    <xdr:from>
      <xdr:col>4</xdr:col>
      <xdr:colOff>323850</xdr:colOff>
      <xdr:row>8</xdr:row>
      <xdr:rowOff>47625</xdr:rowOff>
    </xdr:from>
    <xdr:ext cx="904875" cy="466725"/>
    <xdr:sp macro="" textlink="Tabelas!I4">
      <xdr:nvSpPr>
        <xdr:cNvPr id="12" name="CaixaDeTexto 11">
          <a:extLst>
            <a:ext uri="{FF2B5EF4-FFF2-40B4-BE49-F238E27FC236}">
              <a16:creationId xmlns:a16="http://schemas.microsoft.com/office/drawing/2014/main" id="{4541ADA9-9CF6-2FE1-E8FE-9CDB42ACE187}"/>
            </a:ext>
          </a:extLst>
        </xdr:cNvPr>
        <xdr:cNvSpPr txBox="1"/>
      </xdr:nvSpPr>
      <xdr:spPr>
        <a:xfrm>
          <a:off x="2762250" y="1571625"/>
          <a:ext cx="904875" cy="466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5D4A5E3E-C51C-4BF5-933C-2A0459AF1402}" type="TxLink">
            <a:rPr lang="en-US" sz="3200" b="1" i="0" u="none" strike="noStrike">
              <a:solidFill>
                <a:schemeClr val="accent1"/>
              </a:solidFill>
              <a:latin typeface="Aveny T WEB"/>
              <a:ea typeface="+mn-ea"/>
              <a:cs typeface="+mn-cs"/>
            </a:rPr>
            <a:pPr marL="0" indent="0" algn="r"/>
            <a:t>64%</a:t>
          </a:fld>
          <a:endParaRPr lang="en-US" sz="3200" b="1" i="0" u="none" strike="noStrike">
            <a:solidFill>
              <a:schemeClr val="accent1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438150</xdr:colOff>
      <xdr:row>17</xdr:row>
      <xdr:rowOff>76200</xdr:rowOff>
    </xdr:from>
    <xdr:ext cx="828675" cy="466725"/>
    <xdr:sp macro="" textlink="Tabelas!I5">
      <xdr:nvSpPr>
        <xdr:cNvPr id="19" name="CaixaDeTexto 18">
          <a:extLst>
            <a:ext uri="{FF2B5EF4-FFF2-40B4-BE49-F238E27FC236}">
              <a16:creationId xmlns:a16="http://schemas.microsoft.com/office/drawing/2014/main" id="{D5529B1C-E9E9-BAB2-D0B2-CF512888EEB4}"/>
            </a:ext>
          </a:extLst>
        </xdr:cNvPr>
        <xdr:cNvSpPr txBox="1"/>
      </xdr:nvSpPr>
      <xdr:spPr>
        <a:xfrm>
          <a:off x="2876550" y="3314700"/>
          <a:ext cx="828675" cy="466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6CE8E16E-56C5-4947-8A27-480DF655122F}" type="TxLink">
            <a:rPr lang="en-US" sz="3200" b="1" i="0" u="none" strike="noStrike">
              <a:solidFill>
                <a:schemeClr val="accent2"/>
              </a:solidFill>
              <a:latin typeface="Aveny T WEB"/>
              <a:ea typeface="+mn-ea"/>
              <a:cs typeface="+mn-cs"/>
            </a:rPr>
            <a:pPr marL="0" indent="0" algn="r"/>
            <a:t>36%</a:t>
          </a:fld>
          <a:endParaRPr lang="en-US" sz="3200" b="1" i="0" u="none" strike="noStrike">
            <a:solidFill>
              <a:schemeClr val="accent2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209549</xdr:colOff>
      <xdr:row>9</xdr:row>
      <xdr:rowOff>152400</xdr:rowOff>
    </xdr:from>
    <xdr:to>
      <xdr:col>13</xdr:col>
      <xdr:colOff>238125</xdr:colOff>
      <xdr:row>19</xdr:row>
      <xdr:rowOff>66675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7DC8025-AB89-407C-AB85-B5F622534E35}"/>
            </a:ext>
          </a:extLst>
        </xdr:cNvPr>
        <xdr:cNvGrpSpPr/>
      </xdr:nvGrpSpPr>
      <xdr:grpSpPr>
        <a:xfrm>
          <a:off x="3867149" y="1866900"/>
          <a:ext cx="4295776" cy="1819275"/>
          <a:chOff x="4189139" y="4943475"/>
          <a:chExt cx="4006639" cy="3208442"/>
        </a:xfrm>
        <a:noFill/>
      </xdr:grpSpPr>
      <xdr:graphicFrame macro="">
        <xdr:nvGraphicFramePr>
          <xdr:cNvPr id="21" name="Gráfico 20">
            <a:extLst>
              <a:ext uri="{FF2B5EF4-FFF2-40B4-BE49-F238E27FC236}">
                <a16:creationId xmlns:a16="http://schemas.microsoft.com/office/drawing/2014/main" id="{74406E33-CD1A-9520-B33F-742FCD8EFF5B}"/>
              </a:ext>
            </a:extLst>
          </xdr:cNvPr>
          <xdr:cNvGraphicFramePr/>
        </xdr:nvGraphicFramePr>
        <xdr:xfrm>
          <a:off x="4191511" y="4943475"/>
          <a:ext cx="4002871" cy="28193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40674ABC-4FF8-B8F0-A1B9-E0DF14F14487}"/>
              </a:ext>
            </a:extLst>
          </xdr:cNvPr>
          <xdr:cNvGraphicFramePr>
            <a:graphicFrameLocks/>
          </xdr:cNvGraphicFramePr>
        </xdr:nvGraphicFramePr>
        <xdr:xfrm>
          <a:off x="4189139" y="7762875"/>
          <a:ext cx="4006639" cy="3890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13</xdr:col>
      <xdr:colOff>342899</xdr:colOff>
      <xdr:row>7</xdr:row>
      <xdr:rowOff>123825</xdr:rowOff>
    </xdr:from>
    <xdr:to>
      <xdr:col>15</xdr:col>
      <xdr:colOff>495300</xdr:colOff>
      <xdr:row>19</xdr:row>
      <xdr:rowOff>161925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AB637B-A22C-40DA-A71D-DB177DB0A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14</xdr:col>
      <xdr:colOff>238124</xdr:colOff>
      <xdr:row>8</xdr:row>
      <xdr:rowOff>66675</xdr:rowOff>
    </xdr:from>
    <xdr:ext cx="819151" cy="466725"/>
    <xdr:sp macro="" textlink="Tabelas!$U$7">
      <xdr:nvSpPr>
        <xdr:cNvPr id="30" name="CaixaDeTexto 29">
          <a:extLst>
            <a:ext uri="{FF2B5EF4-FFF2-40B4-BE49-F238E27FC236}">
              <a16:creationId xmlns:a16="http://schemas.microsoft.com/office/drawing/2014/main" id="{B1DDE66E-BC03-CDC4-2462-E72DFC490884}"/>
            </a:ext>
          </a:extLst>
        </xdr:cNvPr>
        <xdr:cNvSpPr txBox="1"/>
      </xdr:nvSpPr>
      <xdr:spPr>
        <a:xfrm>
          <a:off x="8772524" y="1590675"/>
          <a:ext cx="819151" cy="466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F8CBEE3F-EB13-4CD6-8C11-7492385411F6}" type="TxLink">
            <a:rPr lang="en-US" sz="3200" b="1" i="0" u="none" strike="noStrike">
              <a:solidFill>
                <a:schemeClr val="accent1"/>
              </a:solidFill>
              <a:latin typeface="Aveny T WEB"/>
              <a:ea typeface="+mn-ea"/>
              <a:cs typeface="+mn-cs"/>
            </a:rPr>
            <a:pPr marL="0" indent="0" algn="r"/>
            <a:t>98%</a:t>
          </a:fld>
          <a:endParaRPr lang="en-US" sz="3200" b="1" i="0" u="none" strike="noStrike">
            <a:solidFill>
              <a:schemeClr val="accent1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14</xdr:col>
      <xdr:colOff>200025</xdr:colOff>
      <xdr:row>17</xdr:row>
      <xdr:rowOff>38100</xdr:rowOff>
    </xdr:from>
    <xdr:ext cx="828675" cy="514350"/>
    <xdr:sp macro="" textlink="Tabelas!$U$6">
      <xdr:nvSpPr>
        <xdr:cNvPr id="31" name="CaixaDeTexto 30">
          <a:extLst>
            <a:ext uri="{FF2B5EF4-FFF2-40B4-BE49-F238E27FC236}">
              <a16:creationId xmlns:a16="http://schemas.microsoft.com/office/drawing/2014/main" id="{BF7CAFCF-D66C-D7A2-3AB7-9D0CA79BDB2F}"/>
            </a:ext>
          </a:extLst>
        </xdr:cNvPr>
        <xdr:cNvSpPr txBox="1"/>
      </xdr:nvSpPr>
      <xdr:spPr>
        <a:xfrm>
          <a:off x="8734425" y="3276600"/>
          <a:ext cx="828675" cy="5143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229D40C7-D682-41F6-9A68-589E96CAE4E4}" type="TxLink">
            <a:rPr lang="en-US" sz="3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Aveny T WEB"/>
              <a:ea typeface="+mn-ea"/>
              <a:cs typeface="+mn-cs"/>
            </a:rPr>
            <a:pPr marL="0" indent="0" algn="r"/>
            <a:t>2%</a:t>
          </a:fld>
          <a:endParaRPr lang="en-US" sz="3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266700</xdr:colOff>
      <xdr:row>8</xdr:row>
      <xdr:rowOff>76201</xdr:rowOff>
    </xdr:from>
    <xdr:ext cx="695325" cy="285750"/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40BD1C0-2A0A-58B2-54C6-72EBF8BB17E3}"/>
            </a:ext>
          </a:extLst>
        </xdr:cNvPr>
        <xdr:cNvSpPr txBox="1"/>
      </xdr:nvSpPr>
      <xdr:spPr>
        <a:xfrm>
          <a:off x="8191500" y="1600201"/>
          <a:ext cx="695325" cy="2857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r>
            <a:rPr lang="en-US" sz="1400" b="1" i="0" u="none" strike="noStrike">
              <a:solidFill>
                <a:schemeClr val="accent1"/>
              </a:solidFill>
              <a:latin typeface="Aveny T WEB"/>
              <a:ea typeface="+mn-ea"/>
              <a:cs typeface="+mn-cs"/>
            </a:rPr>
            <a:t>SALÁRIO</a:t>
          </a:r>
        </a:p>
      </xdr:txBody>
    </xdr:sp>
    <xdr:clientData/>
  </xdr:oneCellAnchor>
  <xdr:oneCellAnchor>
    <xdr:from>
      <xdr:col>13</xdr:col>
      <xdr:colOff>304800</xdr:colOff>
      <xdr:row>17</xdr:row>
      <xdr:rowOff>47625</xdr:rowOff>
    </xdr:from>
    <xdr:ext cx="571500" cy="504825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B20DC0C3-EA92-8EC5-B4CE-DBC6AFA2FF05}"/>
            </a:ext>
          </a:extLst>
        </xdr:cNvPr>
        <xdr:cNvSpPr txBox="1"/>
      </xdr:nvSpPr>
      <xdr:spPr>
        <a:xfrm>
          <a:off x="8229600" y="3286125"/>
          <a:ext cx="571500" cy="5048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r>
            <a:rPr lang="en-US" sz="14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Aveny T WEB"/>
              <a:ea typeface="+mn-ea"/>
              <a:cs typeface="+mn-cs"/>
            </a:rPr>
            <a:t>RENDA EXTRA</a:t>
          </a:r>
        </a:p>
      </xdr:txBody>
    </xdr:sp>
    <xdr:clientData/>
  </xdr:oneCellAnchor>
  <xdr:twoCellAnchor>
    <xdr:from>
      <xdr:col>3</xdr:col>
      <xdr:colOff>180975</xdr:colOff>
      <xdr:row>21</xdr:row>
      <xdr:rowOff>142876</xdr:rowOff>
    </xdr:from>
    <xdr:to>
      <xdr:col>9</xdr:col>
      <xdr:colOff>333375</xdr:colOff>
      <xdr:row>33</xdr:row>
      <xdr:rowOff>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820139F1-AADF-4D13-B8D8-8F564E40D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266700</xdr:colOff>
      <xdr:row>24</xdr:row>
      <xdr:rowOff>142875</xdr:rowOff>
    </xdr:from>
    <xdr:to>
      <xdr:col>3</xdr:col>
      <xdr:colOff>400050</xdr:colOff>
      <xdr:row>29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4D4181-1AD1-35D7-7D4D-06E676D88EEF}"/>
            </a:ext>
          </a:extLst>
        </xdr:cNvPr>
        <xdr:cNvSpPr/>
      </xdr:nvSpPr>
      <xdr:spPr>
        <a:xfrm>
          <a:off x="2095500" y="4714875"/>
          <a:ext cx="133350" cy="8191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400049</xdr:colOff>
      <xdr:row>22</xdr:row>
      <xdr:rowOff>123825</xdr:rowOff>
    </xdr:from>
    <xdr:to>
      <xdr:col>20</xdr:col>
      <xdr:colOff>333374</xdr:colOff>
      <xdr:row>33</xdr:row>
      <xdr:rowOff>28575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EDBA3339-BE40-4A8E-A0B4-E9307DEC5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Cesar" refreshedDate="45637.554065509263" createdVersion="8" refreshedVersion="8" minRefreshableVersion="3" recordCount="138" xr:uid="{A6241645-9D2E-45D8-A0DB-F3CEB6DEB05A}">
  <cacheSource type="worksheet">
    <worksheetSource name="Tabela2"/>
  </cacheSource>
  <cacheFields count="11">
    <cacheField name="CONTA" numFmtId="0">
      <sharedItems/>
    </cacheField>
    <cacheField name="DATA" numFmtId="14">
      <sharedItems containsSemiMixedTypes="0" containsNonDate="0" containsDate="1" containsString="0" minDate="2014-12-11T00:00:00" maxDate="2024-12-12T00:00:00"/>
    </cacheField>
    <cacheField name="HISTÓRICO" numFmtId="0">
      <sharedItems/>
    </cacheField>
    <cacheField name="VALOR" numFmtId="166">
      <sharedItems containsSemiMixedTypes="0" containsString="0" containsNumber="1" minValue="-50000" maxValue="100000"/>
    </cacheField>
    <cacheField name="DESCRICAO" numFmtId="0">
      <sharedItems count="24">
        <s v="Salário"/>
        <s v="Padaria"/>
        <s v="Saque"/>
        <s v="Renda Extra "/>
        <s v="Transferencia"/>
        <s v="Lanchonete"/>
        <s v="Pagamento Fatura"/>
        <s v="Restaurante "/>
        <s v="Desconhecido"/>
        <s v="Celular "/>
        <s v="Cinema/Shows/Jogos"/>
        <s v="Manutenção"/>
        <s v="Combustível"/>
        <s v="Transferencia1"/>
        <s v="Vestuário"/>
        <s v="Impressões"/>
        <s v="Financiamento "/>
        <s v="IPVA"/>
        <s v="Viagens"/>
        <s v="Hotel"/>
        <s v="Fármacia"/>
        <s v="Higiene Pessoal"/>
        <s v="Festa "/>
        <s v="Faculdade "/>
      </sharedItems>
    </cacheField>
    <cacheField name="TIPO" numFmtId="0">
      <sharedItems count="3">
        <s v="RECEITA"/>
        <s v="DESPESA"/>
        <s v="SALDO" f="1"/>
      </sharedItems>
    </cacheField>
    <cacheField name="CATEGORIA " numFmtId="0">
      <sharedItems containsMixedTypes="1" containsNumber="1" containsInteger="1" minValue="0" maxValue="0" count="10">
        <n v="0"/>
        <s v="Alimentação"/>
        <s v="Serviço Financeiro"/>
        <s v="Pessoal"/>
        <s v="Outro"/>
        <s v="Lazer"/>
        <s v="Transporte"/>
        <s v="Papelaria"/>
        <s v="Saúde"/>
        <s v="Estudos "/>
      </sharedItems>
    </cacheField>
    <cacheField name="ANO" numFmtId="0">
      <sharedItems containsSemiMixedTypes="0" containsString="0" containsNumber="1" containsInteger="1" minValue="2014" maxValue="2024" count="3">
        <n v="2023"/>
        <n v="2014"/>
        <n v="2024"/>
      </sharedItems>
    </cacheField>
    <cacheField name="TRI" numFmtId="0">
      <sharedItems count="2">
        <s v="3° TRI"/>
        <s v="4° TRI"/>
      </sharedItems>
    </cacheField>
    <cacheField name="MÊS" numFmtId="0">
      <sharedItems count="4">
        <s v="Sep"/>
        <s v="Oct"/>
        <s v="Nov"/>
        <s v="Dec"/>
      </sharedItems>
    </cacheField>
    <cacheField name="Valores Abc" numFmtId="0" formula="ABS(VALOR)" databaseField="0"/>
  </cacheFields>
  <calculatedItems count="1">
    <calculatedItem formula="TIPO[RECEITA]+TIPO[DESPESA]">
      <pivotArea cacheIndex="1" outline="0" fieldPosition="0">
        <references count="1">
          <reference field="5" count="1">
            <x v="2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 pivotCacheId="15796469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">
  <r>
    <s v="Inter"/>
    <d v="2023-09-11T00:00:00"/>
    <s v="PIX RECEBIDO - Cp :90400888-JULIO CESAR DE OLIVEIRA GOMES"/>
    <n v="1141"/>
    <x v="0"/>
    <x v="0"/>
    <x v="0"/>
    <x v="0"/>
    <x v="0"/>
    <x v="0"/>
  </r>
  <r>
    <s v="Inter"/>
    <d v="2023-09-11T00:00:00"/>
    <s v="RESGATE - CDB POS DI LIQ. BANCO INTER SA"/>
    <n v="9.99"/>
    <x v="0"/>
    <x v="0"/>
    <x v="0"/>
    <x v="0"/>
    <x v="0"/>
    <x v="0"/>
  </r>
  <r>
    <s v="Inter"/>
    <d v="2023-09-11T00:00:00"/>
    <s v="COMPRA CARTAO - No estabelecimento MP *CREDODELICIA OSASCO BRA"/>
    <n v="-5"/>
    <x v="1"/>
    <x v="1"/>
    <x v="1"/>
    <x v="0"/>
    <x v="0"/>
    <x v="0"/>
  </r>
  <r>
    <s v="Inter"/>
    <d v="2023-09-11T00:00:00"/>
    <s v="SAQUE 24 HORAS - No estabelecimento Banco24Horas"/>
    <n v="-1000"/>
    <x v="2"/>
    <x v="1"/>
    <x v="2"/>
    <x v="0"/>
    <x v="0"/>
    <x v="0"/>
  </r>
  <r>
    <s v="Inter"/>
    <d v="2023-09-11T00:00:00"/>
    <s v="SAQUE 24 HORAS - No estabelecimento Banco24Horas"/>
    <n v="-1000"/>
    <x v="2"/>
    <x v="1"/>
    <x v="2"/>
    <x v="0"/>
    <x v="0"/>
    <x v="0"/>
  </r>
  <r>
    <s v="Inter"/>
    <d v="2023-09-12T00:00:00"/>
    <s v="COMPRA CARTAO - No estabelecimento MP *CREDODELICIAAVENID OSASCO B"/>
    <n v="-5"/>
    <x v="1"/>
    <x v="1"/>
    <x v="1"/>
    <x v="0"/>
    <x v="0"/>
    <x v="0"/>
  </r>
  <r>
    <s v="Inter"/>
    <d v="2023-09-12T00:00:00"/>
    <s v="COMPRA CARTAO - No estabelecimento MARCELO CORREA BRAGA P BARRA DO"/>
    <n v="-4"/>
    <x v="1"/>
    <x v="1"/>
    <x v="1"/>
    <x v="0"/>
    <x v="0"/>
    <x v="0"/>
  </r>
  <r>
    <s v="Inter"/>
    <d v="2023-09-13T00:00:00"/>
    <s v="COMPRA CARTAO - No estabelecimento MP *CREDODELICIAAVENID OSASCO B"/>
    <n v="-6"/>
    <x v="1"/>
    <x v="1"/>
    <x v="1"/>
    <x v="0"/>
    <x v="0"/>
    <x v="0"/>
  </r>
  <r>
    <s v="Inter"/>
    <d v="2023-09-14T00:00:00"/>
    <s v="PIX RECEBIDO - Cp :18236120-Julio Cesar de Oliveira Gomes"/>
    <n v="804"/>
    <x v="3"/>
    <x v="0"/>
    <x v="0"/>
    <x v="0"/>
    <x v="0"/>
    <x v="0"/>
  </r>
  <r>
    <s v="Inter"/>
    <d v="2023-09-18T00:00:00"/>
    <s v="PIX ENVIADO - Cp :90400888-JULIO CESAR DE OLIVEIRA GOMES"/>
    <n v="-460"/>
    <x v="4"/>
    <x v="1"/>
    <x v="3"/>
    <x v="0"/>
    <x v="0"/>
    <x v="0"/>
  </r>
  <r>
    <s v="Santander"/>
    <d v="2023-09-18T00:00:00"/>
    <s v="SAQUE TERMINAL INTER AG"/>
    <n v="-450"/>
    <x v="2"/>
    <x v="1"/>
    <x v="2"/>
    <x v="0"/>
    <x v="0"/>
    <x v="0"/>
  </r>
  <r>
    <s v="Santander"/>
    <d v="2023-09-18T00:00:00"/>
    <s v="DEBITO VISA ELECTRON BRASIL 18/09 MILK SHAKE MIX"/>
    <n v="-5"/>
    <x v="5"/>
    <x v="1"/>
    <x v="1"/>
    <x v="0"/>
    <x v="0"/>
    <x v="0"/>
  </r>
  <r>
    <s v="Inter"/>
    <d v="2023-09-19T00:00:00"/>
    <s v="PAGAMENTO FATURA INTER - Pagamento fatura cartão Inter"/>
    <n v="-60.6"/>
    <x v="6"/>
    <x v="1"/>
    <x v="2"/>
    <x v="0"/>
    <x v="0"/>
    <x v="0"/>
  </r>
  <r>
    <s v="Inter"/>
    <d v="2023-09-22T00:00:00"/>
    <s v="COMPRA CARTAO - No estabelecimento JOAO L GOMES DOS SANT BARRA DO"/>
    <n v="-28.6"/>
    <x v="7"/>
    <x v="1"/>
    <x v="1"/>
    <x v="0"/>
    <x v="0"/>
    <x v="0"/>
  </r>
  <r>
    <s v="Inter"/>
    <d v="2023-09-22T00:00:00"/>
    <s v="COMPRA CARTAO - No estabelecimento MP *CREDODELICIAAVENID OSASCO B"/>
    <n v="-2"/>
    <x v="8"/>
    <x v="1"/>
    <x v="4"/>
    <x v="0"/>
    <x v="0"/>
    <x v="0"/>
  </r>
  <r>
    <s v="Inter"/>
    <d v="2023-09-22T00:00:00"/>
    <s v="COMPRA CARTAO - No estabelecimento MILK SHAKE MIX BARRA DO PIRA BR"/>
    <n v="-12"/>
    <x v="5"/>
    <x v="1"/>
    <x v="1"/>
    <x v="0"/>
    <x v="0"/>
    <x v="0"/>
  </r>
  <r>
    <s v="Inter"/>
    <d v="2023-09-23T00:00:00"/>
    <s v="PIX ENVIADO - Cp :03311443-M4 PRODUTOS E SERVIÇOS S.A"/>
    <n v="-20"/>
    <x v="9"/>
    <x v="1"/>
    <x v="3"/>
    <x v="0"/>
    <x v="0"/>
    <x v="0"/>
  </r>
  <r>
    <s v="Inter"/>
    <d v="2023-09-23T00:00:00"/>
    <s v="COMPRA CARTAO - No estabelecimento BARRA ACAI BARRA DO PIRA BRA"/>
    <n v="-18"/>
    <x v="5"/>
    <x v="1"/>
    <x v="1"/>
    <x v="0"/>
    <x v="0"/>
    <x v="0"/>
  </r>
  <r>
    <s v="Inter"/>
    <d v="2023-09-23T00:00:00"/>
    <s v="COMPRA CARTAO - No estabelecimento TATU FILMES BARRA DO PIRA BRA"/>
    <n v="-33.6"/>
    <x v="10"/>
    <x v="1"/>
    <x v="5"/>
    <x v="0"/>
    <x v="0"/>
    <x v="0"/>
  </r>
  <r>
    <s v="Inter"/>
    <d v="2023-09-27T00:00:00"/>
    <s v="PIX ENVIADO - Cp :21018182-Amazon Serviços de Varejo do Brasil L"/>
    <n v="-34.729999999999997"/>
    <x v="11"/>
    <x v="1"/>
    <x v="6"/>
    <x v="0"/>
    <x v="0"/>
    <x v="0"/>
  </r>
  <r>
    <s v="Inter"/>
    <d v="2023-09-27T00:00:00"/>
    <s v="PIX ENVIADO - Cp :90400888-GABRIELA SILVA BARBIERI CLETO"/>
    <n v="-20"/>
    <x v="4"/>
    <x v="1"/>
    <x v="3"/>
    <x v="0"/>
    <x v="0"/>
    <x v="0"/>
  </r>
  <r>
    <s v="Inter"/>
    <d v="2023-09-27T00:00:00"/>
    <s v="PIX ENVIADO - Cp :90400888-GABRIELA SILVA BARBIERI CLETO"/>
    <n v="-20"/>
    <x v="4"/>
    <x v="1"/>
    <x v="3"/>
    <x v="0"/>
    <x v="0"/>
    <x v="0"/>
  </r>
  <r>
    <s v="Inter "/>
    <d v="2023-09-27T00:00:00"/>
    <s v="COMPRA CARTAO - No estabelecimento MP *CREDODELICIAAVENID OSASCO B"/>
    <n v="-6"/>
    <x v="5"/>
    <x v="1"/>
    <x v="1"/>
    <x v="0"/>
    <x v="0"/>
    <x v="0"/>
  </r>
  <r>
    <s v="Inter"/>
    <d v="2023-09-28T00:00:00"/>
    <s v="COMPRA CARTAO - No estabelecimento MP *CREDODELICIAAVENID OSASCO B"/>
    <n v="-6"/>
    <x v="5"/>
    <x v="1"/>
    <x v="1"/>
    <x v="0"/>
    <x v="0"/>
    <x v="0"/>
  </r>
  <r>
    <s v="Inter "/>
    <d v="2023-09-29T00:00:00"/>
    <s v="COMPRA CARTAO - No estabelecimento MP *CREDODELICIAAVENID OSASCO B"/>
    <n v="-6"/>
    <x v="5"/>
    <x v="1"/>
    <x v="1"/>
    <x v="0"/>
    <x v="0"/>
    <x v="0"/>
  </r>
  <r>
    <s v="Inter"/>
    <d v="2023-09-29T00:00:00"/>
    <s v="COMPRA CARTAO - No estabelecimento MP *CREDODELICIAAVENID OSASCO B"/>
    <n v="-6"/>
    <x v="5"/>
    <x v="1"/>
    <x v="1"/>
    <x v="0"/>
    <x v="0"/>
    <x v="0"/>
  </r>
  <r>
    <s v="Inter"/>
    <d v="2023-09-29T00:00:00"/>
    <s v="COMPRA CARTAO - No estabelecimento MP *CREDODELICIAAVENID OSASCO B"/>
    <n v="-6"/>
    <x v="5"/>
    <x v="1"/>
    <x v="1"/>
    <x v="0"/>
    <x v="0"/>
    <x v="0"/>
  </r>
  <r>
    <s v="Inter"/>
    <d v="2023-10-02T00:00:00"/>
    <s v="SAQUE 24 HORAS - No estabelecimento Banco24Horas"/>
    <n v="-50"/>
    <x v="2"/>
    <x v="1"/>
    <x v="2"/>
    <x v="0"/>
    <x v="1"/>
    <x v="1"/>
  </r>
  <r>
    <s v="Inter"/>
    <d v="2023-10-02T00:00:00"/>
    <s v="COMPRA CARTAO - No estabelecimento POSTO JALISCO BARRA DO PIRA BRA"/>
    <n v="-40"/>
    <x v="12"/>
    <x v="1"/>
    <x v="6"/>
    <x v="0"/>
    <x v="1"/>
    <x v="1"/>
  </r>
  <r>
    <s v="Inter"/>
    <d v="2023-10-02T00:00:00"/>
    <s v="COMPRA CARTAO - No estabelecimento MP *CREDODELICIAAVENID OSASCO B"/>
    <n v="-7"/>
    <x v="5"/>
    <x v="1"/>
    <x v="1"/>
    <x v="0"/>
    <x v="1"/>
    <x v="1"/>
  </r>
  <r>
    <s v="Inter"/>
    <d v="2023-10-02T00:00:00"/>
    <s v="COMPRA CARTAO - No estabelecimento MP *CREDODELICIAAVENID OSASCO B"/>
    <n v="-5"/>
    <x v="5"/>
    <x v="1"/>
    <x v="1"/>
    <x v="0"/>
    <x v="1"/>
    <x v="1"/>
  </r>
  <r>
    <s v="Inter"/>
    <d v="2023-10-05T00:00:00"/>
    <s v="PIX RECEBIDO - Cp :90400888-JULIO CESAR DE OLIVEIRA GOMES"/>
    <n v="1246.94"/>
    <x v="0"/>
    <x v="0"/>
    <x v="0"/>
    <x v="0"/>
    <x v="1"/>
    <x v="1"/>
  </r>
  <r>
    <s v="Inter"/>
    <d v="2023-10-05T00:00:00"/>
    <s v="PAGAMENTO FATURA INTER - Pagamento fatura cartão Inter"/>
    <n v="-334.9"/>
    <x v="6"/>
    <x v="1"/>
    <x v="2"/>
    <x v="0"/>
    <x v="1"/>
    <x v="1"/>
  </r>
  <r>
    <s v="Inter"/>
    <d v="2023-10-05T00:00:00"/>
    <s v="PIX RECEBIDO - Cp :90400888-ARIEL WESLEY ZACARIAS DE OLIVEIRA"/>
    <n v="20"/>
    <x v="13"/>
    <x v="0"/>
    <x v="3"/>
    <x v="0"/>
    <x v="1"/>
    <x v="1"/>
  </r>
  <r>
    <s v="Inter"/>
    <d v="2023-10-05T00:00:00"/>
    <s v="PIX ENVIADO - Cp :90400888-ARIEL WESLEY ZACARIAS DE OLIVEIRA"/>
    <n v="-100"/>
    <x v="14"/>
    <x v="1"/>
    <x v="3"/>
    <x v="0"/>
    <x v="1"/>
    <x v="1"/>
  </r>
  <r>
    <s v="Inter"/>
    <d v="2023-10-09T00:00:00"/>
    <s v="COMPRA CARTAO - No estabelecimento BARRA GAMES BARRA DO PIRA BRA"/>
    <n v="-22.5"/>
    <x v="15"/>
    <x v="1"/>
    <x v="7"/>
    <x v="0"/>
    <x v="1"/>
    <x v="1"/>
  </r>
  <r>
    <s v="Inter"/>
    <d v="2023-10-11T00:00:00"/>
    <s v="PAGAMENTO DE TITULO - Pagamento"/>
    <n v="-707.7"/>
    <x v="16"/>
    <x v="1"/>
    <x v="2"/>
    <x v="0"/>
    <x v="1"/>
    <x v="1"/>
  </r>
  <r>
    <s v="Inter"/>
    <d v="2023-10-11T00:00:00"/>
    <s v="PIX RECEBIDO - Cp :18236120-Cleonice Vitória de Oliveira Gomes"/>
    <n v="800"/>
    <x v="3"/>
    <x v="0"/>
    <x v="0"/>
    <x v="0"/>
    <x v="1"/>
    <x v="1"/>
  </r>
  <r>
    <s v="Inter"/>
    <d v="2023-10-13T00:00:00"/>
    <s v="PIX ENVIADO - Cp :59588111-WISE BRASIL CORRETORA DE CAMBIO LTDA"/>
    <n v="-1802.17"/>
    <x v="4"/>
    <x v="1"/>
    <x v="3"/>
    <x v="0"/>
    <x v="1"/>
    <x v="1"/>
  </r>
  <r>
    <s v="Inter"/>
    <d v="2023-10-13T00:00:00"/>
    <s v="COMPRA CARTAO - No estabelecimento SMART PRONTO BARRA DO PIRA BRA"/>
    <n v="-20"/>
    <x v="5"/>
    <x v="1"/>
    <x v="1"/>
    <x v="0"/>
    <x v="1"/>
    <x v="1"/>
  </r>
  <r>
    <s v="Inter"/>
    <d v="2023-10-16T00:00:00"/>
    <s v="PIX RECEBIDO - Cp :00360305-YAN FERNANDES DA MOTA"/>
    <n v="7"/>
    <x v="3"/>
    <x v="0"/>
    <x v="0"/>
    <x v="0"/>
    <x v="1"/>
    <x v="1"/>
  </r>
  <r>
    <s v="Inter"/>
    <d v="2023-10-16T00:00:00"/>
    <s v="COMPRA CARTAO - No estabelecimento POSTO JALISCO BARRA DO PIRA BRA"/>
    <n v="-40"/>
    <x v="12"/>
    <x v="1"/>
    <x v="6"/>
    <x v="0"/>
    <x v="1"/>
    <x v="1"/>
  </r>
  <r>
    <s v="Inter"/>
    <d v="2023-10-13T00:00:00"/>
    <s v="RESGATE - CDB CREDITO BANCO INTER SA"/>
    <n v="1.49"/>
    <x v="3"/>
    <x v="0"/>
    <x v="0"/>
    <x v="0"/>
    <x v="1"/>
    <x v="1"/>
  </r>
  <r>
    <s v="Inter"/>
    <d v="2023-10-18T00:00:00"/>
    <s v="COMPRA CARTAO No estabelecimento TAMARA LOPES DA SILVA BARRA DO"/>
    <n v="-5"/>
    <x v="5"/>
    <x v="1"/>
    <x v="1"/>
    <x v="0"/>
    <x v="1"/>
    <x v="1"/>
  </r>
  <r>
    <s v="Inter"/>
    <d v="2023-10-18T00:00:00"/>
    <s v="PIX ENVIADO - Cp :18236120-Cleonice Vitória de Oliveira Gomes"/>
    <n v="-30"/>
    <x v="15"/>
    <x v="1"/>
    <x v="7"/>
    <x v="0"/>
    <x v="1"/>
    <x v="1"/>
  </r>
  <r>
    <s v="Inter"/>
    <d v="2023-10-18T00:00:00"/>
    <s v="GRD"/>
    <n v="-112.45"/>
    <x v="17"/>
    <x v="1"/>
    <x v="6"/>
    <x v="0"/>
    <x v="1"/>
    <x v="1"/>
  </r>
  <r>
    <s v="Inter"/>
    <d v="2023-10-18T00:00:00"/>
    <s v="GRD"/>
    <n v="-38.64"/>
    <x v="17"/>
    <x v="1"/>
    <x v="6"/>
    <x v="0"/>
    <x v="1"/>
    <x v="1"/>
  </r>
  <r>
    <s v="Inter"/>
    <d v="2023-10-19T00:00:00"/>
    <s v="COMPRA CARTAO - No estabelecimento TAMARA LOPES DA SILVA BARRA DO "/>
    <n v="-6"/>
    <x v="5"/>
    <x v="1"/>
    <x v="1"/>
    <x v="0"/>
    <x v="1"/>
    <x v="1"/>
  </r>
  <r>
    <s v="Inter"/>
    <d v="2023-10-20T00:00:00"/>
    <s v="COMPRA CARTAO - No estabelecimento TAMARA LOPES DA SILVA BARRA DO "/>
    <n v="-11.5"/>
    <x v="5"/>
    <x v="1"/>
    <x v="1"/>
    <x v="0"/>
    <x v="1"/>
    <x v="1"/>
  </r>
  <r>
    <s v="Inter"/>
    <d v="2023-10-23T00:00:00"/>
    <s v="SAQUE 24 HORAS - No estabelecimento Banco24Horas"/>
    <n v="-50"/>
    <x v="2"/>
    <x v="1"/>
    <x v="2"/>
    <x v="0"/>
    <x v="1"/>
    <x v="1"/>
  </r>
  <r>
    <s v="Inter"/>
    <d v="2023-10-23T00:00:00"/>
    <s v="COMPRA CARTAO - No estabelecimento UTIL 555 ROD BPI RJ BARRA DO PI"/>
    <n v="-108.56"/>
    <x v="18"/>
    <x v="1"/>
    <x v="3"/>
    <x v="0"/>
    <x v="1"/>
    <x v="1"/>
  </r>
  <r>
    <s v="Inter"/>
    <d v="2023-10-23T00:00:00"/>
    <s v="COMPRA CARTAO - No estabelecimento LANCHONETE SAO JUDAS T BARRA DO"/>
    <n v="-6"/>
    <x v="5"/>
    <x v="1"/>
    <x v="1"/>
    <x v="0"/>
    <x v="1"/>
    <x v="1"/>
  </r>
  <r>
    <s v="Inter"/>
    <d v="2023-10-23T00:00:00"/>
    <s v="COMPRA CARTAO - No estabelecimento POP 23Out 09h39min SP BRA"/>
    <n v="-24.3"/>
    <x v="18"/>
    <x v="1"/>
    <x v="3"/>
    <x v="0"/>
    <x v="1"/>
    <x v="1"/>
  </r>
  <r>
    <s v="Inter"/>
    <d v="2023-10-23T00:00:00"/>
    <s v="COMPRA CARTAO - No estabelecimento MP *VALETPARKCASVAVENI OSASCO B"/>
    <n v="-30"/>
    <x v="5"/>
    <x v="1"/>
    <x v="1"/>
    <x v="0"/>
    <x v="1"/>
    <x v="1"/>
  </r>
  <r>
    <s v="Inter"/>
    <d v="2023-10-23T00:00:00"/>
    <s v="COMPRA CARTAO - No estabelecimento MP *VALETPARKCASVAVENI OSASCO B"/>
    <n v="-5"/>
    <x v="5"/>
    <x v="1"/>
    <x v="1"/>
    <x v="0"/>
    <x v="1"/>
    <x v="1"/>
  </r>
  <r>
    <s v="Inter"/>
    <d v="2023-10-23T00:00:00"/>
    <s v="COMPRA CARTAO - No estabelecimento MP *VALETPARKCASVAVENI OSASCO B"/>
    <n v="-15"/>
    <x v="5"/>
    <x v="1"/>
    <x v="1"/>
    <x v="0"/>
    <x v="1"/>
    <x v="1"/>
  </r>
  <r>
    <s v="Inter"/>
    <d v="2023-10-23T00:00:00"/>
    <s v="COMPRA CARTAO - No estabelecimento SABOR GENERAL RIO DE JANEIR BRA"/>
    <n v="-51.82"/>
    <x v="7"/>
    <x v="1"/>
    <x v="1"/>
    <x v="0"/>
    <x v="1"/>
    <x v="1"/>
  </r>
  <r>
    <s v="Inter"/>
    <d v="2023-10-23T00:00:00"/>
    <s v="COMPRA CARTAO - No estabelecimento TUPINIQUIM RIO DE JANEIR BRA"/>
    <n v="-213"/>
    <x v="19"/>
    <x v="1"/>
    <x v="3"/>
    <x v="0"/>
    <x v="1"/>
    <x v="1"/>
  </r>
  <r>
    <s v="Inter"/>
    <d v="2023-10-23T00:00:00"/>
    <s v="COMPRA CARTAO - No estabelecimento DROGAFARMA BOFAFOGO RIO DE JANE"/>
    <n v="-29.79"/>
    <x v="20"/>
    <x v="1"/>
    <x v="8"/>
    <x v="0"/>
    <x v="1"/>
    <x v="1"/>
  </r>
  <r>
    <s v="Inter"/>
    <d v="2023-10-24T00:00:00"/>
    <s v="COMPRA CARTAO - No estabelecimento POP 24Out 06h09min SP BRA"/>
    <n v="-17.3"/>
    <x v="18"/>
    <x v="1"/>
    <x v="3"/>
    <x v="0"/>
    <x v="1"/>
    <x v="1"/>
  </r>
  <r>
    <s v="Inter"/>
    <d v="2023-10-24T00:00:00"/>
    <s v="COMPRA CARTAO - No estabelecimento POP 24Out 09h06min SP BRA"/>
    <n v="-16.7"/>
    <x v="18"/>
    <x v="1"/>
    <x v="3"/>
    <x v="0"/>
    <x v="1"/>
    <x v="1"/>
  </r>
  <r>
    <s v="Inter"/>
    <d v="2023-10-24T00:00:00"/>
    <s v="COMPRA CARTAO - No estabelecimento PAG*Viajantes RIO DE JANEIR BRA"/>
    <n v="-12.75"/>
    <x v="5"/>
    <x v="1"/>
    <x v="1"/>
    <x v="0"/>
    <x v="1"/>
    <x v="1"/>
  </r>
  <r>
    <s v="Inter"/>
    <d v="2023-10-24T00:00:00"/>
    <s v="COMPRA CARTAO - No estabelecimento VR BBS RESTAURANTE LT RIO DE JA"/>
    <n v="-16"/>
    <x v="5"/>
    <x v="1"/>
    <x v="1"/>
    <x v="0"/>
    <x v="1"/>
    <x v="1"/>
  </r>
  <r>
    <s v="Inter"/>
    <d v="2023-10-24T00:00:00"/>
    <s v="COMPRA CARTAO - No estabelecimento SUBWAY BARRA DO PIRAI BARRA DO "/>
    <n v="-69.5"/>
    <x v="5"/>
    <x v="1"/>
    <x v="1"/>
    <x v="0"/>
    <x v="1"/>
    <x v="1"/>
  </r>
  <r>
    <s v="Inter"/>
    <d v="2023-10-30T00:00:00"/>
    <s v="PIX ENVIADO INTERNO - 00019 0114542716 SANDERSON ALVES"/>
    <n v="-25"/>
    <x v="21"/>
    <x v="1"/>
    <x v="3"/>
    <x v="0"/>
    <x v="1"/>
    <x v="1"/>
  </r>
  <r>
    <s v="Inter"/>
    <d v="2023-10-30T00:00:00"/>
    <s v="COMPRA CARTAO - No estabelecimento TAMARA LOPES DA SILVA BARRA DO "/>
    <n v="-6"/>
    <x v="5"/>
    <x v="1"/>
    <x v="1"/>
    <x v="0"/>
    <x v="1"/>
    <x v="1"/>
  </r>
  <r>
    <s v="Inter"/>
    <d v="2023-10-30T00:00:00"/>
    <s v="COMPRA CARTAO - No estabelecimento TAMARA LOPES DA SILVA BARRA DO "/>
    <n v="-6"/>
    <x v="5"/>
    <x v="1"/>
    <x v="1"/>
    <x v="0"/>
    <x v="1"/>
    <x v="1"/>
  </r>
  <r>
    <s v="Inter"/>
    <d v="2023-10-31T00:00:00"/>
    <s v="COMPRA CARTAO - No estabelecimento TAMARA LOPES DA SILVA BARRA DO "/>
    <n v="-5"/>
    <x v="5"/>
    <x v="1"/>
    <x v="1"/>
    <x v="0"/>
    <x v="1"/>
    <x v="1"/>
  </r>
  <r>
    <s v="Inter"/>
    <d v="2023-10-31T00:00:00"/>
    <s v="COMPRA CARTAO - No estabelecimento TAMARA LOPES DA SILVA BARRA DO "/>
    <n v="-5"/>
    <x v="5"/>
    <x v="1"/>
    <x v="1"/>
    <x v="0"/>
    <x v="1"/>
    <x v="1"/>
  </r>
  <r>
    <s v="Inter"/>
    <d v="2023-11-01T00:00:00"/>
    <s v="COMPRA CARTAO - No estabelecimento DROGARIA POVAO 01 BARRA DO PIRA"/>
    <n v="-6.48"/>
    <x v="20"/>
    <x v="1"/>
    <x v="8"/>
    <x v="0"/>
    <x v="1"/>
    <x v="2"/>
  </r>
  <r>
    <s v="Inter"/>
    <d v="2023-11-06T00:00:00"/>
    <s v="PIX RECEBIDO - Cp :90400888-JULIO CESAR DE OLIVEIRA GOMES"/>
    <n v="999.5"/>
    <x v="0"/>
    <x v="0"/>
    <x v="0"/>
    <x v="0"/>
    <x v="1"/>
    <x v="2"/>
  </r>
  <r>
    <s v="Inter"/>
    <d v="2023-11-07T00:00:00"/>
    <s v="PAGAMENTO FATURA INTER - Débito Automático Fatura Cartão Inter"/>
    <n v="-392.2"/>
    <x v="6"/>
    <x v="1"/>
    <x v="2"/>
    <x v="0"/>
    <x v="1"/>
    <x v="2"/>
  </r>
  <r>
    <s v="Inter"/>
    <d v="2023-11-07T00:00:00"/>
    <s v="COMPRA CARTAO - No estabelecimento TAMARA LOPES DA SILVA BARRA DO "/>
    <n v="-8.5"/>
    <x v="5"/>
    <x v="1"/>
    <x v="1"/>
    <x v="0"/>
    <x v="1"/>
    <x v="2"/>
  </r>
  <r>
    <s v="Inter"/>
    <d v="2023-11-07T00:00:00"/>
    <s v="COMPRA CARTAO - No estabelecimento TAMARA LOPES DA SILVA BARRA DO "/>
    <n v="-5"/>
    <x v="5"/>
    <x v="1"/>
    <x v="1"/>
    <x v="0"/>
    <x v="1"/>
    <x v="2"/>
  </r>
  <r>
    <s v="Inter"/>
    <d v="2023-11-08T00:00:00"/>
    <s v="COMPRA CARTAO - No estabelecimento TAMARA LOPES DA SILVA BARRA DO "/>
    <n v="-6"/>
    <x v="5"/>
    <x v="1"/>
    <x v="1"/>
    <x v="0"/>
    <x v="1"/>
    <x v="2"/>
  </r>
  <r>
    <s v="Inter"/>
    <d v="2023-11-10T00:00:00"/>
    <s v="COMPRA CARTAO - No estabelecimento TAMARA LOPES DA SILVA BARRA DO "/>
    <n v="-3"/>
    <x v="5"/>
    <x v="1"/>
    <x v="1"/>
    <x v="0"/>
    <x v="1"/>
    <x v="2"/>
  </r>
  <r>
    <s v="Inter"/>
    <d v="2023-11-10T00:00:00"/>
    <s v="PIX ENVIADO - Cp :00360305-YAN FERNANDES DA MOTA"/>
    <n v="-2"/>
    <x v="4"/>
    <x v="1"/>
    <x v="3"/>
    <x v="0"/>
    <x v="1"/>
    <x v="2"/>
  </r>
  <r>
    <s v="Inter"/>
    <d v="2023-11-13T00:00:00"/>
    <s v="PIX RECEBIDO - Cp :18236120-Cleonice Vitória de Oliveira Gomes"/>
    <n v="250"/>
    <x v="3"/>
    <x v="0"/>
    <x v="0"/>
    <x v="0"/>
    <x v="1"/>
    <x v="2"/>
  </r>
  <r>
    <s v="Inter"/>
    <d v="2023-11-13T00:00:00"/>
    <s v="COMPRA CARTAO - No estabelecimento BARRA ACAI BARRA DO PIRA BRA"/>
    <n v="-22"/>
    <x v="5"/>
    <x v="1"/>
    <x v="1"/>
    <x v="0"/>
    <x v="1"/>
    <x v="2"/>
  </r>
  <r>
    <s v="Inter"/>
    <d v="2023-11-13T00:00:00"/>
    <s v="PAGAMENTO DE TITULO - Pagamento"/>
    <n v="-707.7"/>
    <x v="16"/>
    <x v="1"/>
    <x v="2"/>
    <x v="0"/>
    <x v="1"/>
    <x v="2"/>
  </r>
  <r>
    <s v="Inter"/>
    <d v="2023-11-13T00:00:00"/>
    <s v="COMPRA CARTAO - No estabelecimento TAMARA LOPES DA SILVA BARRA DO "/>
    <n v="-8"/>
    <x v="5"/>
    <x v="1"/>
    <x v="1"/>
    <x v="0"/>
    <x v="1"/>
    <x v="2"/>
  </r>
  <r>
    <s v="Inter"/>
    <d v="2023-11-13T00:00:00"/>
    <s v="COMPRA CARTAO - No estabelecimento TAMARA LOPES DA SILVA BARRA DO "/>
    <n v="-6"/>
    <x v="5"/>
    <x v="1"/>
    <x v="1"/>
    <x v="0"/>
    <x v="1"/>
    <x v="2"/>
  </r>
  <r>
    <s v="Inter"/>
    <d v="2023-11-16T00:00:00"/>
    <s v="PIX ENVIADO - Cp :31872495-MASSA E CIA"/>
    <n v="-2"/>
    <x v="5"/>
    <x v="1"/>
    <x v="1"/>
    <x v="0"/>
    <x v="1"/>
    <x v="2"/>
  </r>
  <r>
    <s v="Inter"/>
    <d v="2023-11-16T00:00:00"/>
    <s v="PIX RECEBIDO - Cp :18236120-Flávia do Santos de Deus"/>
    <n v="2"/>
    <x v="13"/>
    <x v="0"/>
    <x v="3"/>
    <x v="0"/>
    <x v="1"/>
    <x v="2"/>
  </r>
  <r>
    <s v="Inter"/>
    <d v="2023-11-17T00:00:00"/>
    <s v="COMPRA CARTAO - No estabelecimento PADARIA MAC PAES BARRA DO PIRA "/>
    <n v="-7"/>
    <x v="5"/>
    <x v="1"/>
    <x v="1"/>
    <x v="0"/>
    <x v="1"/>
    <x v="2"/>
  </r>
  <r>
    <s v="Inter"/>
    <d v="2023-11-20T00:00:00"/>
    <s v="COMPRA CARTAO - No estabelecimento POSTO NOVA BARRA LTDA BARRA DO "/>
    <n v="-50"/>
    <x v="12"/>
    <x v="1"/>
    <x v="6"/>
    <x v="0"/>
    <x v="1"/>
    <x v="2"/>
  </r>
  <r>
    <s v="Inter"/>
    <d v="2023-11-20T00:00:00"/>
    <s v="PIX RECEBIDO - Cp :18236120-Cleonice Vitória de Oliveira Gomes"/>
    <n v="150"/>
    <x v="3"/>
    <x v="0"/>
    <x v="0"/>
    <x v="0"/>
    <x v="1"/>
    <x v="2"/>
  </r>
  <r>
    <s v="Inter"/>
    <d v="2023-11-20T00:00:00"/>
    <s v="COMPRA CARTAO - No estabelecimento BARRA ACAI BARRA DO PIRA BRA"/>
    <n v="-1.8"/>
    <x v="5"/>
    <x v="1"/>
    <x v="1"/>
    <x v="0"/>
    <x v="1"/>
    <x v="2"/>
  </r>
  <r>
    <s v="Inter"/>
    <d v="2023-11-20T00:00:00"/>
    <s v="COMPRA CARTAO - No estabelecimento PADARIA TEIXEIRA-SABO PIRAI BRA"/>
    <n v="-7.5"/>
    <x v="5"/>
    <x v="1"/>
    <x v="1"/>
    <x v="0"/>
    <x v="1"/>
    <x v="2"/>
  </r>
  <r>
    <s v="Inter"/>
    <d v="2023-11-20T00:00:00"/>
    <s v="COMPRA CARTAO - No estabelecimento FARMACIA FRANCO GONCA PIRAI BRA"/>
    <n v="-27.9"/>
    <x v="20"/>
    <x v="1"/>
    <x v="8"/>
    <x v="0"/>
    <x v="1"/>
    <x v="2"/>
  </r>
  <r>
    <s v="Inter"/>
    <d v="2023-11-20T00:00:00"/>
    <s v="PIX ENVIADO - Cp :18236120-Luís Eduardo de Oliveira Fidelis"/>
    <n v="-40"/>
    <x v="4"/>
    <x v="1"/>
    <x v="3"/>
    <x v="0"/>
    <x v="1"/>
    <x v="2"/>
  </r>
  <r>
    <s v="Inter"/>
    <d v="2023-11-20T00:00:00"/>
    <s v="COMPRA CARTAO - No estabelecimento PAG*NatachaPonath PIRAI BRA"/>
    <n v="-12.5"/>
    <x v="5"/>
    <x v="1"/>
    <x v="1"/>
    <x v="0"/>
    <x v="1"/>
    <x v="2"/>
  </r>
  <r>
    <s v="Inter"/>
    <d v="2023-11-22T00:00:00"/>
    <s v="COMPRA CARTAO - No estabelecimento TAMARA LOPES DA SILVA BARRA DO "/>
    <n v="-7"/>
    <x v="5"/>
    <x v="1"/>
    <x v="1"/>
    <x v="0"/>
    <x v="1"/>
    <x v="2"/>
  </r>
  <r>
    <s v="Inter"/>
    <d v="2023-11-22T00:00:00"/>
    <s v="PAGAMENTO DE TITULO - Pagamento"/>
    <n v="-74.709999999999994"/>
    <x v="22"/>
    <x v="1"/>
    <x v="3"/>
    <x v="0"/>
    <x v="1"/>
    <x v="2"/>
  </r>
  <r>
    <s v="Inter"/>
    <d v="2023-11-23T00:00:00"/>
    <s v="COMPRA CARTAO - No estabelecimento DROGARIA POVAO 01 BARRA DO PIRA"/>
    <n v="-5.99"/>
    <x v="20"/>
    <x v="1"/>
    <x v="8"/>
    <x v="0"/>
    <x v="1"/>
    <x v="2"/>
  </r>
  <r>
    <s v="Inter"/>
    <d v="2023-11-24T00:00:00"/>
    <s v="COMPRA CARTAO - No estabelecimento DROGARIA POVAO 01 BARRA DO PIRA"/>
    <n v="-4.49"/>
    <x v="20"/>
    <x v="1"/>
    <x v="8"/>
    <x v="0"/>
    <x v="1"/>
    <x v="2"/>
  </r>
  <r>
    <s v="Inter"/>
    <d v="2023-11-27T00:00:00"/>
    <s v="PIX RECEBIDO - Cp :18236120-Cleonice Vitória de Oliveira Gomes"/>
    <n v="60"/>
    <x v="3"/>
    <x v="0"/>
    <x v="0"/>
    <x v="0"/>
    <x v="1"/>
    <x v="2"/>
  </r>
  <r>
    <s v="Inter"/>
    <d v="2023-11-27T00:00:00"/>
    <s v="SAQUE 24 HORAS - No estabelecimento Banco24Horas"/>
    <n v="-50"/>
    <x v="2"/>
    <x v="1"/>
    <x v="2"/>
    <x v="0"/>
    <x v="1"/>
    <x v="2"/>
  </r>
  <r>
    <s v="Inter"/>
    <d v="2023-11-27T00:00:00"/>
    <s v="COMPRA CARTAO - No estabelecimento MARCELO CORREA BRAGA P BARRA DO"/>
    <n v="-6"/>
    <x v="5"/>
    <x v="1"/>
    <x v="1"/>
    <x v="0"/>
    <x v="1"/>
    <x v="2"/>
  </r>
  <r>
    <s v="Inter"/>
    <d v="2023-11-27T00:00:00"/>
    <s v="PIX RECEBIDO - Cp :18236120-Cleonice Vitória de Oliveira Gomes"/>
    <n v="20"/>
    <x v="3"/>
    <x v="0"/>
    <x v="0"/>
    <x v="0"/>
    <x v="1"/>
    <x v="2"/>
  </r>
  <r>
    <s v="Inter"/>
    <d v="2023-11-27T00:00:00"/>
    <s v="PIX ENVIADO INTERNO - 00019 0114542716 SANDERSON ALVES"/>
    <n v="-25"/>
    <x v="21"/>
    <x v="1"/>
    <x v="3"/>
    <x v="0"/>
    <x v="1"/>
    <x v="2"/>
  </r>
  <r>
    <s v="Inter"/>
    <d v="2023-11-28T00:00:00"/>
    <s v="COMPRA CARTAO - No estabelecimento MP *CHURRASQUINHOAVENI OSASCO B"/>
    <n v="-2.5"/>
    <x v="5"/>
    <x v="1"/>
    <x v="1"/>
    <x v="0"/>
    <x v="1"/>
    <x v="2"/>
  </r>
  <r>
    <s v="Inter"/>
    <d v="2023-11-30T00:00:00"/>
    <s v="PIX RECEBIDO - Cp :90400888-JULIO CESAR DE OLIVEIRA GOMES"/>
    <n v="536"/>
    <x v="0"/>
    <x v="0"/>
    <x v="0"/>
    <x v="0"/>
    <x v="1"/>
    <x v="2"/>
  </r>
  <r>
    <s v="Inter"/>
    <d v="2023-12-01T00:00:00"/>
    <s v="COMPRA CARTAO - No estabelecimento MILK SHAKE MIX BARRA DO PIRA BR"/>
    <n v="-12"/>
    <x v="5"/>
    <x v="1"/>
    <x v="1"/>
    <x v="0"/>
    <x v="1"/>
    <x v="3"/>
  </r>
  <r>
    <s v="Inter"/>
    <d v="2023-12-04T00:00:00"/>
    <s v="PIX ENVIADO - Cp :08561701-PAGSEGURO TECNOLOGIA LTDA"/>
    <n v="-52"/>
    <x v="10"/>
    <x v="1"/>
    <x v="5"/>
    <x v="0"/>
    <x v="1"/>
    <x v="3"/>
  </r>
  <r>
    <s v="Inter"/>
    <d v="2023-12-04T00:00:00"/>
    <s v="COMPRA CARTAO - No estabelecimento PAG*PancaCheiaLanches BARRA DO "/>
    <n v="-18"/>
    <x v="5"/>
    <x v="1"/>
    <x v="1"/>
    <x v="0"/>
    <x v="1"/>
    <x v="3"/>
  </r>
  <r>
    <s v="Inter"/>
    <d v="2023-12-05T00:00:00"/>
    <s v="COMPRA CARTAO - No estabelecimento TAMARA LOPES DA SILVA BARRA DO "/>
    <n v="-9"/>
    <x v="5"/>
    <x v="1"/>
    <x v="1"/>
    <x v="0"/>
    <x v="1"/>
    <x v="3"/>
  </r>
  <r>
    <s v="Inter"/>
    <d v="2023-12-06T00:00:00"/>
    <s v="PIX ENVIADO - Cp :00360305-YAN FERNANDES DA MOTA"/>
    <n v="-10"/>
    <x v="4"/>
    <x v="1"/>
    <x v="3"/>
    <x v="0"/>
    <x v="1"/>
    <x v="3"/>
  </r>
  <r>
    <s v="Inter"/>
    <d v="2023-12-06T00:00:00"/>
    <s v="COMPRA CARTAO - No estabelecimento TAMARA LOPES DA SILVA BARRA DO "/>
    <n v="-10"/>
    <x v="5"/>
    <x v="1"/>
    <x v="1"/>
    <x v="0"/>
    <x v="1"/>
    <x v="3"/>
  </r>
  <r>
    <s v="Inter"/>
    <d v="2023-12-06T00:00:00"/>
    <s v="PIX RECEBIDO - Cp :90400888-JULIO CESAR DE OLIVEIRA GOMES"/>
    <n v="855.25"/>
    <x v="0"/>
    <x v="0"/>
    <x v="0"/>
    <x v="0"/>
    <x v="1"/>
    <x v="3"/>
  </r>
  <r>
    <s v="Inter"/>
    <d v="2023-12-06T00:00:00"/>
    <s v="PIX ENVIADO - Cp :90400888-MIGUEL AMENTA"/>
    <n v="-6"/>
    <x v="4"/>
    <x v="1"/>
    <x v="3"/>
    <x v="0"/>
    <x v="1"/>
    <x v="3"/>
  </r>
  <r>
    <s v="Inter"/>
    <d v="2023-12-07T00:00:00"/>
    <s v="PAGAMENTO FATURA INTER - Débito Automático Fatura Cartão Inter"/>
    <n v="-434.59"/>
    <x v="6"/>
    <x v="1"/>
    <x v="2"/>
    <x v="0"/>
    <x v="1"/>
    <x v="3"/>
  </r>
  <r>
    <s v="Inter"/>
    <d v="2023-12-07T00:00:00"/>
    <s v="COMPRA CARTAO - No estabelecimento TAMARA LOPES DA SILVA BARRA DO "/>
    <n v="-9"/>
    <x v="5"/>
    <x v="1"/>
    <x v="1"/>
    <x v="0"/>
    <x v="1"/>
    <x v="3"/>
  </r>
  <r>
    <s v="Inter"/>
    <d v="2023-12-08T00:00:00"/>
    <s v="COMPRA CARTAO - No estabelecimento TAMARA LOPES DA SILVA BARRA DO "/>
    <n v="-7"/>
    <x v="5"/>
    <x v="1"/>
    <x v="1"/>
    <x v="0"/>
    <x v="1"/>
    <x v="3"/>
  </r>
  <r>
    <s v="Inter"/>
    <d v="2023-12-08T00:00:00"/>
    <s v="COMPRA CARTAO - No estabelecimento TAMARA LOPES DA SILVA BARRA DO "/>
    <n v="-9"/>
    <x v="5"/>
    <x v="1"/>
    <x v="1"/>
    <x v="0"/>
    <x v="1"/>
    <x v="3"/>
  </r>
  <r>
    <s v="Inter"/>
    <d v="2023-12-11T00:00:00"/>
    <s v="COMPRA CARTAO - No estabelecimento POSTO NOVA BARRA LTDA BARRA DO "/>
    <n v="-50"/>
    <x v="12"/>
    <x v="1"/>
    <x v="6"/>
    <x v="0"/>
    <x v="1"/>
    <x v="3"/>
  </r>
  <r>
    <s v="Inter"/>
    <d v="2023-12-11T00:00:00"/>
    <s v="PIX ENVIADO INTERNO - 00019 0114542716 SANDERSON ALVES"/>
    <n v="-25"/>
    <x v="21"/>
    <x v="1"/>
    <x v="3"/>
    <x v="0"/>
    <x v="1"/>
    <x v="3"/>
  </r>
  <r>
    <s v="Inter"/>
    <d v="2023-12-13T00:00:00"/>
    <s v="PAGAMENTO DE TITULO - Pagamento"/>
    <n v="-707.7"/>
    <x v="16"/>
    <x v="1"/>
    <x v="2"/>
    <x v="0"/>
    <x v="1"/>
    <x v="3"/>
  </r>
  <r>
    <s v="Inter"/>
    <d v="2023-12-18T00:00:00"/>
    <s v="PIX RECEBIDO - Cp :00360305-CLEONICE VITORIA DE OLIVEIRA GOMES"/>
    <n v="500"/>
    <x v="3"/>
    <x v="0"/>
    <x v="0"/>
    <x v="0"/>
    <x v="1"/>
    <x v="3"/>
  </r>
  <r>
    <s v="Inter"/>
    <d v="2023-12-18T00:00:00"/>
    <s v="COMPRA CARTAO - No estabelecimento TAMARA LOPES DA SILVA BARRA DO "/>
    <n v="-8"/>
    <x v="5"/>
    <x v="1"/>
    <x v="1"/>
    <x v="0"/>
    <x v="1"/>
    <x v="3"/>
  </r>
  <r>
    <s v="Inter"/>
    <d v="2023-12-18T00:00:00"/>
    <s v="COMPRA CARTAO - No estabelecimento TAMARA LOPES DA SILVA BARRA DO "/>
    <n v="-9"/>
    <x v="5"/>
    <x v="1"/>
    <x v="1"/>
    <x v="0"/>
    <x v="1"/>
    <x v="3"/>
  </r>
  <r>
    <s v="Inter"/>
    <d v="2023-12-18T00:00:00"/>
    <s v="COMPRA CARTAO - No estabelecimento DROGARIA POVAO 01 BARRA DO PIRA"/>
    <n v="-71.69"/>
    <x v="20"/>
    <x v="1"/>
    <x v="8"/>
    <x v="0"/>
    <x v="1"/>
    <x v="3"/>
  </r>
  <r>
    <s v="Inter"/>
    <d v="2023-12-19T00:00:00"/>
    <s v="COMPRA CARTAO - No estabelecimento TAMARA LOPES DA SILVA BARRA DO "/>
    <n v="-11.5"/>
    <x v="5"/>
    <x v="1"/>
    <x v="1"/>
    <x v="0"/>
    <x v="1"/>
    <x v="3"/>
  </r>
  <r>
    <s v="Inter"/>
    <d v="2023-12-19T00:00:00"/>
    <s v="COMPRA CARTAO - No estabelecimento MILK SHAKE MIX BARRA DO PIRA BR"/>
    <n v="-2.5"/>
    <x v="5"/>
    <x v="1"/>
    <x v="1"/>
    <x v="0"/>
    <x v="1"/>
    <x v="3"/>
  </r>
  <r>
    <s v="Inter"/>
    <d v="2023-12-19T00:00:00"/>
    <s v="PAGAMENTO DE TITULO - Pagamento"/>
    <n v="-49.9"/>
    <x v="23"/>
    <x v="1"/>
    <x v="9"/>
    <x v="0"/>
    <x v="1"/>
    <x v="3"/>
  </r>
  <r>
    <s v="Inter"/>
    <d v="2023-12-20T00:00:00"/>
    <s v="PIX RECEBIDO - Cp :90400888-JULIO CESAR DE OLIVEIRA GOMES"/>
    <n v="569.25"/>
    <x v="0"/>
    <x v="0"/>
    <x v="0"/>
    <x v="0"/>
    <x v="1"/>
    <x v="3"/>
  </r>
  <r>
    <s v="Inter"/>
    <d v="2023-12-20T00:00:00"/>
    <s v="COMPRA CARTAO - No estabelecimento TAMARA LOPES DA SILVA BARRA DO "/>
    <n v="-7"/>
    <x v="5"/>
    <x v="1"/>
    <x v="1"/>
    <x v="0"/>
    <x v="1"/>
    <x v="3"/>
  </r>
  <r>
    <s v="Inter"/>
    <d v="2023-12-22T00:00:00"/>
    <s v="COMPRA CARTAO - No estabelecimento TAMARA LOPES DA SILVA BARRA DO "/>
    <n v="-12"/>
    <x v="5"/>
    <x v="1"/>
    <x v="1"/>
    <x v="0"/>
    <x v="1"/>
    <x v="3"/>
  </r>
  <r>
    <s v="Inter"/>
    <d v="2023-12-22T00:00:00"/>
    <s v="COMPRA CARTAO - No estabelecimento TAMARA LOPES DA SILVA BARRA DO "/>
    <n v="-6"/>
    <x v="5"/>
    <x v="1"/>
    <x v="1"/>
    <x v="0"/>
    <x v="1"/>
    <x v="3"/>
  </r>
  <r>
    <s v="Inter"/>
    <d v="2023-12-22T00:00:00"/>
    <s v="COMPRA CARTAO - No estabelecimento Mones lanches BARRA DO PIRA BRA"/>
    <n v="-43"/>
    <x v="5"/>
    <x v="1"/>
    <x v="1"/>
    <x v="0"/>
    <x v="1"/>
    <x v="3"/>
  </r>
  <r>
    <s v="Inter"/>
    <d v="2023-12-26T00:00:00"/>
    <s v="PIX ENVIADO INTERNO - 00019 0114542716 SANDERSON ALVES"/>
    <n v="-25"/>
    <x v="21"/>
    <x v="1"/>
    <x v="3"/>
    <x v="0"/>
    <x v="1"/>
    <x v="3"/>
  </r>
  <r>
    <s v="Inter"/>
    <d v="2023-12-26T00:00:00"/>
    <s v="COMPRA CARTAO - No estabelecimento POSTO NOVA BARRA LTDA BARRA DO "/>
    <n v="-50"/>
    <x v="12"/>
    <x v="1"/>
    <x v="6"/>
    <x v="0"/>
    <x v="1"/>
    <x v="3"/>
  </r>
  <r>
    <s v="Inter"/>
    <d v="2023-12-27T00:00:00"/>
    <s v="COMPRA CARTAO - No estabelecimento TAMARA LOPES DA SILVA BARRA DO "/>
    <n v="-14"/>
    <x v="5"/>
    <x v="1"/>
    <x v="1"/>
    <x v="0"/>
    <x v="1"/>
    <x v="3"/>
  </r>
  <r>
    <s v="Inter"/>
    <d v="2023-12-28T00:00:00"/>
    <s v="COMPRA CARTAO - No estabelecimento TAMARA LOPES DA SILVA BARRA DO "/>
    <n v="-8"/>
    <x v="5"/>
    <x v="1"/>
    <x v="1"/>
    <x v="0"/>
    <x v="1"/>
    <x v="3"/>
  </r>
  <r>
    <s v="Inter"/>
    <d v="2023-12-28T00:00:00"/>
    <s v="PIX ENVIADO - Cp :18236120-João Gabriel Molinário da Silva"/>
    <n v="-2"/>
    <x v="4"/>
    <x v="1"/>
    <x v="3"/>
    <x v="0"/>
    <x v="1"/>
    <x v="3"/>
  </r>
  <r>
    <s v="Inter"/>
    <d v="2023-12-29T00:00:00"/>
    <s v="COMPRA CARTAO - No estabelecimento TAMARA LOPES DA SILVA BARRA DO "/>
    <n v="-5.5"/>
    <x v="5"/>
    <x v="1"/>
    <x v="1"/>
    <x v="0"/>
    <x v="1"/>
    <x v="3"/>
  </r>
  <r>
    <s v="Inter"/>
    <d v="2014-12-11T00:00:00"/>
    <s v="Teste"/>
    <n v="100000"/>
    <x v="0"/>
    <x v="0"/>
    <x v="0"/>
    <x v="1"/>
    <x v="1"/>
    <x v="3"/>
  </r>
  <r>
    <s v="Inter"/>
    <d v="2024-12-11T00:00:00"/>
    <s v="Teste"/>
    <n v="-50000"/>
    <x v="18"/>
    <x v="1"/>
    <x v="3"/>
    <x v="2"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54FA46-8642-483E-8DDE-D5A9F93C932F}" name="Tabela dinâmica6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>
  <location ref="Q4:R14" firstHeaderRow="1" firstDataRow="1" firstDataCol="1"/>
  <pivotFields count="11">
    <pivotField showAll="0"/>
    <pivotField numFmtId="14" showAll="0"/>
    <pivotField showAll="0"/>
    <pivotField numFmtId="166" showAll="0"/>
    <pivotField showAll="0"/>
    <pivotField axis="axisRow" showAll="0">
      <items count="4">
        <item h="1" x="0"/>
        <item x="1"/>
        <item h="1" f="1" x="2"/>
        <item t="default"/>
      </items>
    </pivotField>
    <pivotField axis="axisRow" showAll="0" sortType="descending">
      <items count="11">
        <item x="0"/>
        <item x="1"/>
        <item x="5"/>
        <item x="4"/>
        <item x="3"/>
        <item x="2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ataField="1" dragToRow="0" dragToCol="0" dragToPage="0" showAll="0" defaultSubtotal="0"/>
  </pivotFields>
  <rowFields count="2">
    <field x="5"/>
    <field x="6"/>
  </rowFields>
  <rowItems count="10">
    <i>
      <x v="1"/>
    </i>
    <i r="1">
      <x v="4"/>
    </i>
    <i r="1">
      <x v="5"/>
    </i>
    <i r="1">
      <x v="1"/>
    </i>
    <i r="1">
      <x v="6"/>
    </i>
    <i r="1">
      <x v="8"/>
    </i>
    <i r="1">
      <x v="2"/>
    </i>
    <i r="1">
      <x v="7"/>
    </i>
    <i r="1">
      <x v="9"/>
    </i>
    <i r="1">
      <x v="3"/>
    </i>
  </rowItems>
  <colItems count="1">
    <i/>
  </colItems>
  <dataFields count="1">
    <dataField name="Soma de Valores Abc" fld="10" baseField="0" baseItem="0" numFmtId="166"/>
  </dataFields>
  <formats count="1">
    <format dxfId="146">
      <pivotArea outline="0" collapsedLevelsAreSubtotals="1" fieldPosition="0"/>
    </format>
  </formats>
  <chartFormats count="3"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E10B07-A207-433A-B5BB-842A0CC3AFD9}" name="Tabela dinâmica5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T4:U8" firstHeaderRow="1" firstDataRow="1" firstDataCol="1"/>
  <pivotFields count="11">
    <pivotField showAll="0"/>
    <pivotField numFmtId="14" showAll="0"/>
    <pivotField showAll="0"/>
    <pivotField dataField="1" numFmtId="166" showAll="0"/>
    <pivotField axis="axisRow" showAll="0">
      <items count="25">
        <item x="9"/>
        <item x="10"/>
        <item x="8"/>
        <item x="5"/>
        <item x="1"/>
        <item x="6"/>
        <item x="3"/>
        <item x="7"/>
        <item x="0"/>
        <item x="2"/>
        <item x="4"/>
        <item x="13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4">
        <item x="0"/>
        <item h="1" x="1"/>
        <item h="1" f="1" x="2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2">
    <field x="5"/>
    <field x="4"/>
  </rowFields>
  <rowItems count="4">
    <i>
      <x/>
    </i>
    <i r="1">
      <x v="6"/>
    </i>
    <i r="1">
      <x v="8"/>
    </i>
    <i r="1">
      <x v="11"/>
    </i>
  </rowItems>
  <colItems count="1">
    <i/>
  </colItems>
  <dataFields count="1">
    <dataField name="Soma de VALOR" fld="3" showDataAs="percentOfTotal" baseField="0" baseItem="0" numFmtId="10"/>
  </dataFields>
  <formats count="5">
    <format dxfId="141">
      <pivotArea outline="0" collapsedLevelsAreSubtotals="1" fieldPosition="0"/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3">
      <pivotArea collapsedLevelsAreSubtotals="1" fieldPosition="0">
        <references count="2">
          <reference field="4" count="1">
            <x v="8"/>
          </reference>
          <reference field="5" count="0" selected="0"/>
        </references>
      </pivotArea>
    </format>
    <format dxfId="144">
      <pivotArea collapsedLevelsAreSubtotals="1" fieldPosition="0">
        <references count="2">
          <reference field="4" count="1">
            <x v="6"/>
          </reference>
          <reference field="5" count="0" selected="0"/>
        </references>
      </pivotArea>
    </format>
    <format dxfId="145">
      <pivotArea collapsedLevelsAreSubtotals="1" fieldPosition="0">
        <references count="1">
          <reference field="5" count="0"/>
        </references>
      </pivotArea>
    </format>
  </format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5" count="1" selected="0">
            <x v="0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FC267-D431-4B34-B546-24C1447B37A9}" name="Tabela dinâmica4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1">
  <location ref="D16:G32" firstHeaderRow="1" firstDataRow="2" firstDataCol="1"/>
  <pivotFields count="11">
    <pivotField showAll="0"/>
    <pivotField numFmtId="14" showAll="0"/>
    <pivotField showAll="0"/>
    <pivotField dataField="1" numFmtId="166" showAll="0"/>
    <pivotField showAll="0"/>
    <pivotField axis="axisCol" showAll="0">
      <items count="4">
        <item x="0"/>
        <item x="1"/>
        <item f="1" x="2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2">
    <field x="7"/>
    <field x="9"/>
  </rowFields>
  <rowItems count="15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</rowItems>
  <colFields count="1">
    <field x="5"/>
  </colFields>
  <colItems count="3">
    <i>
      <x/>
    </i>
    <i>
      <x v="1"/>
    </i>
    <i>
      <x v="2"/>
    </i>
  </colItems>
  <dataFields count="1">
    <dataField name="Soma de VALOR" fld="3" baseField="0" baseItem="0" numFmtId="165"/>
  </dataFields>
  <formats count="2">
    <format dxfId="139">
      <pivotArea outline="0" collapsedLevelsAreSubtotals="1" fieldPosition="0"/>
    </format>
    <format dxfId="140">
      <pivotArea dataOnly="0" labelOnly="1" fieldPosition="0">
        <references count="1">
          <reference field="9" count="0"/>
        </references>
      </pivotArea>
    </format>
  </formats>
  <chartFormats count="19"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24">
      <pivotArea type="data" outline="0" fieldPosition="0">
        <references count="4">
          <reference field="4294967294" count="1" selected="0">
            <x v="0"/>
          </reference>
          <reference field="5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1F1FDA-60A5-4770-8859-FF51F789EFC5}" name="Tabela dinâmica3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D8:E11" firstHeaderRow="1" firstDataRow="2" firstDataCol="1"/>
  <pivotFields count="11">
    <pivotField showAll="0"/>
    <pivotField numFmtId="14" showAll="0"/>
    <pivotField showAll="0"/>
    <pivotField dataField="1" numFmtId="166" showAll="0"/>
    <pivotField showAll="0"/>
    <pivotField axis="axisCol" showAll="0">
      <items count="4">
        <item h="1" x="1"/>
        <item h="1" x="0"/>
        <item f="1" x="2"/>
        <item t="default"/>
      </items>
    </pivotField>
    <pivotField showAll="0"/>
    <pivotField showAll="0"/>
    <pivotField axis="axisRow"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1">
    <field x="8"/>
  </rowFields>
  <rowItems count="2">
    <i>
      <x/>
    </i>
    <i>
      <x v="1"/>
    </i>
  </rowItems>
  <colFields count="1">
    <field x="5"/>
  </colFields>
  <colItems count="1">
    <i>
      <x v="2"/>
    </i>
  </colItems>
  <dataFields count="1">
    <dataField name="Soma de VALOR" fld="3" baseField="0" baseItem="0" numFmtId="165"/>
  </dataFields>
  <formats count="1">
    <format dxfId="1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6FD279-5FA4-4873-85A5-644E827CFF5B}" name="Tabela dinâmica2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B4" firstHeaderRow="1" firstDataRow="1" firstDataCol="1"/>
  <pivotFields count="11">
    <pivotField showAll="0"/>
    <pivotField numFmtId="14" showAll="0"/>
    <pivotField showAll="0"/>
    <pivotField dataField="1" numFmtId="166" showAll="0"/>
    <pivotField showAll="0"/>
    <pivotField axis="axisRow" showAll="0">
      <items count="4">
        <item x="0"/>
        <item x="1"/>
        <item f="1" x="2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1">
    <field x="5"/>
  </rowFields>
  <rowItems count="3">
    <i>
      <x/>
    </i>
    <i>
      <x v="1"/>
    </i>
    <i>
      <x v="2"/>
    </i>
  </rowItems>
  <colItems count="1">
    <i/>
  </colItems>
  <dataFields count="1">
    <dataField name="Soma de VALOR" fld="3" baseField="0" baseItem="0" numFmtId="165"/>
  </dataFields>
  <formats count="2">
    <format dxfId="136">
      <pivotArea outline="0" collapsedLevelsAreSubtotals="1" fieldPosition="0"/>
    </format>
    <format dxfId="137">
      <pivotArea collapsedLevelsAreSubtotals="1" fieldPosition="0">
        <references count="1">
          <reference field="5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4761F4-0513-410B-8C48-82E147E28FB6}" name="Tabela dinâmica7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2">
  <location ref="P30:AK39" firstHeaderRow="1" firstDataRow="2" firstDataCol="1"/>
  <pivotFields count="11">
    <pivotField showAll="0"/>
    <pivotField numFmtId="14" showAll="0"/>
    <pivotField showAll="0"/>
    <pivotField numFmtId="166" showAll="0"/>
    <pivotField axis="axisCol" showAll="0">
      <items count="25">
        <item x="9"/>
        <item x="10"/>
        <item x="8"/>
        <item x="5"/>
        <item x="1"/>
        <item x="6"/>
        <item x="3"/>
        <item x="7"/>
        <item x="0"/>
        <item x="2"/>
        <item x="4"/>
        <item x="13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4">
        <item h="1" x="0"/>
        <item x="1"/>
        <item h="1" f="1" x="2"/>
        <item t="default"/>
      </items>
    </pivotField>
    <pivotField showAll="0">
      <items count="11">
        <item x="0"/>
        <item x="1"/>
        <item x="9"/>
        <item x="5"/>
        <item x="4"/>
        <item x="7"/>
        <item x="3"/>
        <item x="8"/>
        <item x="2"/>
        <item x="6"/>
        <item t="default"/>
      </items>
    </pivotField>
    <pivotField showAll="0"/>
    <pivotField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dragToRow="0" dragToCol="0" dragToPage="0" showAll="0" defaultSubtotal="0"/>
  </pivotFields>
  <rowFields count="2">
    <field x="9"/>
    <field x="5"/>
  </rowFields>
  <rowItems count="8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</rowItems>
  <colFields count="1">
    <field x="4"/>
  </colFields>
  <colItems count="21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colItems>
  <dataFields count="1">
    <dataField name="Soma de Valores Abc" fld="10" baseField="0" baseItem="0" numFmtId="166"/>
  </dataFields>
  <formats count="1">
    <format dxfId="135">
      <pivotArea outline="0" collapsedLevelsAreSubtotals="1" fieldPosition="0"/>
    </format>
  </formats>
  <chartFormats count="35">
    <chartFormat chart="17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7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7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7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7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7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7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2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2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21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1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21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21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21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21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21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21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21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21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21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21" format="6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21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6695C5-7591-472E-9637-8F287626E44A}" name="Tabela dinâmica1" cacheId="90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outline="1" outlineData="1" multipleFieldFilters="0" chartFormat="2">
  <location ref="A3:J43" firstHeaderRow="1" firstDataRow="3" firstDataCol="1"/>
  <pivotFields count="11">
    <pivotField showAll="0"/>
    <pivotField numFmtId="14" showAll="0"/>
    <pivotField showAll="0"/>
    <pivotField dataField="1" numFmtId="165" showAll="0"/>
    <pivotField axis="axisRow" showAll="0">
      <items count="25">
        <item x="9"/>
        <item x="10"/>
        <item x="8"/>
        <item x="5"/>
        <item x="1"/>
        <item x="6"/>
        <item x="3"/>
        <item x="7"/>
        <item x="0"/>
        <item x="2"/>
        <item x="4"/>
        <item x="13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4">
        <item x="0"/>
        <item x="1"/>
        <item h="1" f="1" x="2"/>
        <item t="default"/>
      </items>
    </pivotField>
    <pivotField axis="axisRow" showAll="0">
      <items count="11">
        <item x="0"/>
        <item x="1"/>
        <item x="5"/>
        <item x="4"/>
        <item x="3"/>
        <item x="2"/>
        <item x="6"/>
        <item x="7"/>
        <item x="8"/>
        <item x="9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>
      <items count="3">
        <item x="0"/>
        <item x="1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3">
    <field x="5"/>
    <field x="6"/>
    <field x="4"/>
  </rowFields>
  <rowItems count="38">
    <i>
      <x/>
    </i>
    <i r="1">
      <x/>
    </i>
    <i r="2">
      <x v="6"/>
    </i>
    <i r="2">
      <x v="8"/>
    </i>
    <i r="1">
      <x v="4"/>
    </i>
    <i r="2">
      <x v="11"/>
    </i>
    <i>
      <x v="1"/>
    </i>
    <i r="1">
      <x v="1"/>
    </i>
    <i r="2">
      <x v="3"/>
    </i>
    <i r="2">
      <x v="4"/>
    </i>
    <i r="2">
      <x v="7"/>
    </i>
    <i r="1">
      <x v="2"/>
    </i>
    <i r="2">
      <x v="1"/>
    </i>
    <i r="1">
      <x v="3"/>
    </i>
    <i r="2">
      <x v="2"/>
    </i>
    <i r="1">
      <x v="4"/>
    </i>
    <i r="2">
      <x/>
    </i>
    <i r="2">
      <x v="10"/>
    </i>
    <i r="2">
      <x v="14"/>
    </i>
    <i r="2">
      <x v="18"/>
    </i>
    <i r="2">
      <x v="19"/>
    </i>
    <i r="2">
      <x v="21"/>
    </i>
    <i r="2">
      <x v="22"/>
    </i>
    <i r="1">
      <x v="5"/>
    </i>
    <i r="2">
      <x v="5"/>
    </i>
    <i r="2">
      <x v="9"/>
    </i>
    <i r="2">
      <x v="16"/>
    </i>
    <i r="1">
      <x v="6"/>
    </i>
    <i r="2">
      <x v="12"/>
    </i>
    <i r="2">
      <x v="13"/>
    </i>
    <i r="2">
      <x v="17"/>
    </i>
    <i r="1">
      <x v="7"/>
    </i>
    <i r="2">
      <x v="15"/>
    </i>
    <i r="1">
      <x v="8"/>
    </i>
    <i r="2">
      <x v="20"/>
    </i>
    <i r="1">
      <x v="9"/>
    </i>
    <i r="2">
      <x v="23"/>
    </i>
    <i t="grand">
      <x/>
    </i>
  </rowItems>
  <colFields count="2">
    <field x="7"/>
    <field x="9"/>
  </colFields>
  <colItems count="9">
    <i>
      <x/>
      <x/>
    </i>
    <i r="1">
      <x v="1"/>
    </i>
    <i r="1">
      <x v="2"/>
    </i>
    <i r="1">
      <x v="3"/>
    </i>
    <i t="default">
      <x/>
    </i>
    <i>
      <x v="1"/>
      <x v="3"/>
    </i>
    <i t="default">
      <x v="1"/>
    </i>
    <i>
      <x v="2"/>
      <x v="3"/>
    </i>
    <i t="default">
      <x v="2"/>
    </i>
  </colItems>
  <dataFields count="1">
    <dataField name="Soma de VALOR" fld="3" baseField="0" baseItem="0" numFmtId="164"/>
  </dataFields>
  <formats count="12">
    <format dxfId="123">
      <pivotArea outline="0" collapsedLevelsAreSubtotals="1" fieldPosition="0"/>
    </format>
    <format dxfId="124">
      <pivotArea dataOnly="0" labelOnly="1" fieldPosition="0">
        <references count="1">
          <reference field="5" count="0"/>
        </references>
      </pivotArea>
    </format>
    <format dxfId="125">
      <pivotArea dataOnly="0" labelOnly="1" grandRow="1" outline="0" fieldPosition="0"/>
    </format>
    <format dxfId="126">
      <pivotArea dataOnly="0" labelOnly="1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127">
      <pivotArea dataOnly="0" labelOnly="1" fieldPosition="0">
        <references count="2">
          <reference field="5" count="1" selected="0">
            <x v="1"/>
          </reference>
          <reference field="6" count="5">
            <x v="1"/>
            <x v="2"/>
            <x v="3"/>
            <x v="4"/>
            <x v="5"/>
          </reference>
        </references>
      </pivotArea>
    </format>
    <format dxfId="128">
      <pivotArea dataOnly="0" labelOnly="1" fieldPosition="0">
        <references count="3">
          <reference field="4" count="2">
            <x v="6"/>
            <x v="8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129">
      <pivotArea dataOnly="0" labelOnly="1" fieldPosition="0">
        <references count="3">
          <reference field="4" count="3">
            <x v="3"/>
            <x v="4"/>
            <x v="7"/>
          </reference>
          <reference field="5" count="1" selected="0">
            <x v="1"/>
          </reference>
          <reference field="6" count="1" selected="0">
            <x v="1"/>
          </reference>
        </references>
      </pivotArea>
    </format>
    <format dxfId="130">
      <pivotArea dataOnly="0" labelOnly="1" fieldPosition="0">
        <references count="3">
          <reference field="4" count="1">
            <x v="1"/>
          </reference>
          <reference field="5" count="1" selected="0">
            <x v="1"/>
          </reference>
          <reference field="6" count="1" selected="0">
            <x v="2"/>
          </reference>
        </references>
      </pivotArea>
    </format>
    <format dxfId="131">
      <pivotArea dataOnly="0" labelOnly="1" fieldPosition="0">
        <references count="3">
          <reference field="4" count="1">
            <x v="2"/>
          </reference>
          <reference field="5" count="1" selected="0">
            <x v="1"/>
          </reference>
          <reference field="6" count="1" selected="0">
            <x v="3"/>
          </reference>
        </references>
      </pivotArea>
    </format>
    <format dxfId="132">
      <pivotArea dataOnly="0" labelOnly="1" fieldPosition="0">
        <references count="3">
          <reference field="4" count="2">
            <x v="0"/>
            <x v="10"/>
          </reference>
          <reference field="5" count="1" selected="0">
            <x v="1"/>
          </reference>
          <reference field="6" count="1" selected="0">
            <x v="4"/>
          </reference>
        </references>
      </pivotArea>
    </format>
    <format dxfId="133">
      <pivotArea dataOnly="0" labelOnly="1" fieldPosition="0">
        <references count="3">
          <reference field="4" count="2">
            <x v="5"/>
            <x v="9"/>
          </reference>
          <reference field="5" count="1" selected="0">
            <x v="1"/>
          </reference>
          <reference field="6" count="1" selected="0">
            <x v="5"/>
          </reference>
        </references>
      </pivotArea>
    </format>
    <format dxfId="134">
      <pivotArea collapsedLevelsAreSubtotals="1" fieldPosition="0">
        <references count="2">
          <reference field="5" count="1">
            <x v="1"/>
          </reference>
          <reference field="7" count="0" selected="0" defaultSubtotal="1"/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5ADA7ADB-12BC-4AFF-856F-9CEED218120E}" sourceName="ANO">
  <pivotTables>
    <pivotTable tabId="6" name="Tabela dinâmica1"/>
  </pivotTables>
  <data>
    <tabular pivotCacheId="1579646993">
      <items count="3"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1" xr10:uid="{F5D63D03-C129-4AE5-AEA6-0B312ACDAB4A}" sourceName="TRI">
  <pivotTables>
    <pivotTable tabId="5" name="Tabela dinâmica4"/>
    <pivotTable tabId="6" name="Tabela dinâmica1"/>
    <pivotTable tabId="5" name="Tabela dinâmica2"/>
    <pivotTable tabId="5" name="Tabela dinâmica3"/>
    <pivotTable tabId="5" name="Tabela dinâmica5"/>
    <pivotTable tabId="5" name="Tabela dinâmica6"/>
    <pivotTable tabId="5" name="Tabela dinâmica7"/>
  </pivotTables>
  <data>
    <tabular pivotCacheId="1579646993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284B0A6F-331B-4409-8D40-5A6C73FFFDD4}" sourceName="MÊS">
  <pivotTables>
    <pivotTable tabId="5" name="Tabela dinâmica4"/>
    <pivotTable tabId="6" name="Tabela dinâmica1"/>
    <pivotTable tabId="5" name="Tabela dinâmica2"/>
    <pivotTable tabId="5" name="Tabela dinâmica3"/>
    <pivotTable tabId="5" name="Tabela dinâmica5"/>
    <pivotTable tabId="5" name="Tabela dinâmica6"/>
    <pivotTable tabId="5" name="Tabela dinâmica7"/>
  </pivotTables>
  <data>
    <tabular pivotCacheId="1579646993">
      <items count="4">
        <i x="0" s="1"/>
        <i x="1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SCRICAO" xr10:uid="{32880DCA-1E06-478E-801C-257EDCA466BD}" sourceName="DESCRICAO">
  <pivotTables>
    <pivotTable tabId="5" name="Tabela dinâmica7"/>
  </pivotTables>
  <data>
    <tabular pivotCacheId="1579646993">
      <items count="24">
        <i x="9" s="1"/>
        <i x="10" s="1"/>
        <i x="12" s="1"/>
        <i x="8" s="1"/>
        <i x="23" s="1"/>
        <i x="20" s="1"/>
        <i x="22" s="1"/>
        <i x="16" s="1"/>
        <i x="21" s="1"/>
        <i x="19" s="1"/>
        <i x="15" s="1"/>
        <i x="17" s="1"/>
        <i x="5" s="1"/>
        <i x="11" s="1"/>
        <i x="1" s="1"/>
        <i x="6" s="1"/>
        <i x="7" s="1"/>
        <i x="2" s="1"/>
        <i x="4" s="1"/>
        <i x="14" s="1"/>
        <i x="18" s="1"/>
        <i x="3" s="1" nd="1"/>
        <i x="0" s="1" nd="1"/>
        <i x="13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E8F196E7-34B4-4C46-A155-373D2376CEE9}" sourceName="CATEGORIA ">
  <pivotTables>
    <pivotTable tabId="5" name="Tabela dinâmica7"/>
  </pivotTables>
  <data>
    <tabular pivotCacheId="1579646993">
      <items count="10">
        <i x="1" s="1"/>
        <i x="9" s="1"/>
        <i x="5" s="1"/>
        <i x="4" s="1"/>
        <i x="7" s="1"/>
        <i x="3" s="1"/>
        <i x="8" s="1"/>
        <i x="2" s="1"/>
        <i x="6" s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F135DCF1-C5CE-4AC5-9041-1375F437ECE2}" sourceName="ANO">
  <pivotTables>
    <pivotTable tabId="5" name="Tabela dinâmica4"/>
  </pivotTables>
  <data>
    <tabular pivotCacheId="1579646993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F4D994FB-EA6D-43ED-8C56-9B1B1529E324}" cache="SegmentaçãodeDados_ANO" caption="ANO" rowHeight="182880"/>
  <slicer name="TRI" xr10:uid="{FA0834F7-C6CC-4C1E-85F1-700BCB3112E7}" cache="SegmentaçãodeDados_TRI1" caption="TRI" columnCount="4" rowHeight="182880"/>
  <slicer name="MÊS" xr10:uid="{88EBAEA0-6D63-45D5-AC2A-C3AE643224C3}" cache="SegmentaçãodeDados_MÊS1" caption="MÊS" columnCount="12" rowHeight="18288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RI 1" xr10:uid="{AD7EB08C-DEAE-4C69-9995-FE8D29302368}" cache="SegmentaçãodeDados_TRI1" caption="TRI" columnCount="2" style="SlicerStyleLight1 2" rowHeight="241300"/>
  <slicer name="MÊS 1" xr10:uid="{11096C9F-082F-4807-8A18-87AB5D769E80}" cache="SegmentaçãodeDados_MÊS1" caption="MÊS" columnCount="4" style="SlicerStyleLight1 2" rowHeight="241300"/>
  <slicer name="DESCRICAO" xr10:uid="{5963029F-0B77-4BED-9399-FF054D14025A}" cache="SegmentaçãodeDados_DESCRICAO" caption="DESCRICAO" style="SlicerStyleLight1 2" rowHeight="241300"/>
  <slicer name="CATEGORIA " xr10:uid="{CCC17470-C311-4694-AABC-056E78D85547}" cache="SegmentaçãodeDados_CATEGORIA" caption="CATEGORIA " style="SlicerStyleLight1 2" rowHeight="241300"/>
  <slicer name="ANO 1" xr10:uid="{7C180B91-35BB-4006-AE9E-0E30A071A96A}" cache="SegmentaçãodeDados_ANO1" caption="ANO" columnCount="3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DA9DE9-5C37-4059-8676-D28C455FC2FD}" name="Tabela1" displayName="Tabela1" ref="A1:C31" totalsRowShown="0">
  <autoFilter ref="A1:C31" xr:uid="{72DA9DE9-5C37-4059-8676-D28C455FC2FD}"/>
  <sortState xmlns:xlrd2="http://schemas.microsoft.com/office/spreadsheetml/2017/richdata2" ref="A2:C27">
    <sortCondition ref="A1:A27"/>
  </sortState>
  <tableColumns count="3">
    <tableColumn id="1" xr3:uid="{D686FA5F-D9C0-40BA-A626-358F70E4FD67}" name="DESCRIÇÃO "/>
    <tableColumn id="2" xr3:uid="{8028D4FF-B9F7-4373-A53C-3D054CD81476}" name="TIPO"/>
    <tableColumn id="3" xr3:uid="{218D4E4A-49B7-44B8-9D43-4801E61D1E1C}" name="CATEGOR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8B8C1C-3ED6-45FD-9879-9E8307D0E0D9}" name="Tabela2" displayName="Tabela2" ref="A1:J139" totalsRowShown="0">
  <autoFilter ref="A1:J139" xr:uid="{C08B8C1C-3ED6-45FD-9879-9E8307D0E0D9}"/>
  <sortState xmlns:xlrd2="http://schemas.microsoft.com/office/spreadsheetml/2017/richdata2" ref="A2:J36">
    <sortCondition ref="B1:B36"/>
  </sortState>
  <tableColumns count="10">
    <tableColumn id="1" xr3:uid="{A833E565-EBDD-415C-9575-540E6EAD6EBF}" name="CONTA"/>
    <tableColumn id="2" xr3:uid="{3FD53FBD-BA8E-4201-873F-DBC5E97310F6}" name="DATA" dataDxfId="148"/>
    <tableColumn id="3" xr3:uid="{16676AE2-8204-4B50-A91A-EAC3F0322DA6}" name="HISTÓRICO" dataDxfId="121"/>
    <tableColumn id="4" xr3:uid="{3CB6244E-DCA3-47D6-A553-B2D386A4E076}" name="VALOR" dataDxfId="122"/>
    <tableColumn id="5" xr3:uid="{98D4C009-8CEE-4504-BE6C-8DF400135E7C}" name="DESCRICAO"/>
    <tableColumn id="6" xr3:uid="{D7D749D0-CEC0-408F-9C6F-A3746F0E4B27}" name="TIPO">
      <calculatedColumnFormula>VLOOKUP(Tabela2[[#This Row],[DESCRICAO]],Tabela1[#All],2,0)</calculatedColumnFormula>
    </tableColumn>
    <tableColumn id="7" xr3:uid="{0185B883-25F8-4B35-AD8A-0CAC62DEF99A}" name="CATEGORIA ">
      <calculatedColumnFormula>VLOOKUP(Tabela2[[#This Row],[DESCRICAO]],Tabela1[#All],3,0)</calculatedColumnFormula>
    </tableColumn>
    <tableColumn id="8" xr3:uid="{706013F8-524A-4147-BF77-FF0E538DB230}" name="ANO">
      <calculatedColumnFormula>YEAR(Tabela2[[#This Row],[DATA]])</calculatedColumnFormula>
    </tableColumn>
    <tableColumn id="9" xr3:uid="{6E14CC82-677B-4440-B636-94EEAC4E05C9}" name="TRI">
      <calculatedColumnFormula>INT((MONTH(Tabela2[[#This Row],[DATA]])-1)/3)+1&amp;"° TRI"</calculatedColumnFormula>
    </tableColumn>
    <tableColumn id="10" xr3:uid="{E83B7F00-9483-4EB4-990B-985EA1A8E322}" name="MÊS">
      <calculatedColumnFormula>TEXT(Tabela2[[#This Row],[DATA]],"mmm")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2C7982-CFD0-4429-8C9B-D6A02AAF138F}" name="Table3" displayName="Table3" ref="A3:J22" totalsRowShown="0">
  <autoFilter ref="A3:J22" xr:uid="{882C7982-CFD0-4429-8C9B-D6A02AAF138F}"/>
  <sortState xmlns:xlrd2="http://schemas.microsoft.com/office/spreadsheetml/2017/richdata2" ref="A4:J21">
    <sortCondition ref="D3:D21"/>
  </sortState>
  <tableColumns count="10">
    <tableColumn id="1" xr3:uid="{3AF2852D-D786-4C6F-B438-765F1E1BD1F8}" name="CONTA"/>
    <tableColumn id="2" xr3:uid="{082842B6-76DE-4A92-9453-97D0B2605405}" name="DATA" dataDxfId="120"/>
    <tableColumn id="3" xr3:uid="{64B52FB7-9272-4015-A888-985CB2A4485B}" name="HISTÓRICO"/>
    <tableColumn id="4" xr3:uid="{53EF9CEE-14B0-4B53-B3C2-2AA71FF60AA5}" name="VALOR"/>
    <tableColumn id="5" xr3:uid="{0E21D4AC-1907-473E-9B84-9057F40F13C3}" name="DESCRICAO"/>
    <tableColumn id="6" xr3:uid="{25AAA317-A500-4437-9CD4-D75CBF5C410B}" name="TIPO"/>
    <tableColumn id="7" xr3:uid="{647DBA07-6DEE-401C-9832-186708D41CC9}" name="CATEGORIA "/>
    <tableColumn id="8" xr3:uid="{3B509E1B-D375-4759-A0E3-CFCB58AD084B}" name="ANO"/>
    <tableColumn id="9" xr3:uid="{B966C6E8-368D-43FC-8FA7-4F7C6B5A783B}" name="TRI"/>
    <tableColumn id="10" xr3:uid="{0A08B83B-5458-47A2-B32E-B469EF2C52F2}" name="MÊ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43448E-4F5A-4623-ACA5-07B823D3091C}" name="Table4" displayName="Table4" ref="A3:J121" totalsRowShown="0">
  <autoFilter ref="A3:J121" xr:uid="{1A43448E-4F5A-4623-ACA5-07B823D3091C}">
    <filterColumn colId="0">
      <filters>
        <filter val="Inter"/>
      </filters>
    </filterColumn>
  </autoFilter>
  <sortState xmlns:xlrd2="http://schemas.microsoft.com/office/spreadsheetml/2017/richdata2" ref="A4:J121">
    <sortCondition ref="D3:D121"/>
  </sortState>
  <tableColumns count="10">
    <tableColumn id="1" xr3:uid="{D2EE8125-EF2F-4CCA-A4C9-BE5487FCB918}" name="CONTA"/>
    <tableColumn id="2" xr3:uid="{8FF4197C-D154-447A-BCFF-ABC6E1F3D162}" name="DATA" dataDxfId="147"/>
    <tableColumn id="3" xr3:uid="{04C4F6C5-5B9C-4A9D-B512-89C79A933EB7}" name="HISTÓRICO"/>
    <tableColumn id="4" xr3:uid="{249CBE4E-B848-45D1-9D67-799B39FE9342}" name="VALOR"/>
    <tableColumn id="5" xr3:uid="{5F54A2C9-A9B2-4F59-AEBA-06C8FB7E3E37}" name="DESCRICAO"/>
    <tableColumn id="6" xr3:uid="{12879725-A23A-4239-8CAD-9D17DB21964F}" name="TIPO"/>
    <tableColumn id="7" xr3:uid="{B9DF0B9C-3EE2-4529-9B32-FDE9C269039D}" name="CATEGORIA "/>
    <tableColumn id="8" xr3:uid="{81B48ADD-1CA6-4489-A711-6EEEB5DC2778}" name="ANO"/>
    <tableColumn id="9" xr3:uid="{9CDB6AA8-EBE4-400A-9F29-CC7E5E0CFFED}" name="TRI"/>
    <tableColumn id="10" xr3:uid="{2E90DD2E-75F3-4453-B5DA-447F76028FB7}" name="MÊ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5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85A64"/>
      </a:accent1>
      <a:accent2>
        <a:srgbClr val="FF735C"/>
      </a:accent2>
      <a:accent3>
        <a:srgbClr val="E1E1E1"/>
      </a:accent3>
      <a:accent4>
        <a:srgbClr val="D9FF75"/>
      </a:accent4>
      <a:accent5>
        <a:srgbClr val="4289FF"/>
      </a:accent5>
      <a:accent6>
        <a:srgbClr val="63424B"/>
      </a:accent6>
      <a:hlink>
        <a:srgbClr val="63602E"/>
      </a:hlink>
      <a:folHlink>
        <a:srgbClr val="954F72"/>
      </a:folHlink>
    </a:clrScheme>
    <a:fontScheme name="Personalizada 2">
      <a:majorFont>
        <a:latin typeface="Aveny T WEB"/>
        <a:ea typeface=""/>
        <a:cs typeface=""/>
      </a:majorFont>
      <a:minorFont>
        <a:latin typeface="Aveny T WEB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C9D60-1024-4652-8A0E-932AB76D8F37}">
  <sheetPr codeName="Planilha4"/>
  <dimension ref="A1:AK39"/>
  <sheetViews>
    <sheetView tabSelected="1" zoomScale="70" zoomScaleNormal="70" workbookViewId="0">
      <selection activeCell="K20" sqref="K20"/>
    </sheetView>
  </sheetViews>
  <sheetFormatPr defaultRowHeight="15" x14ac:dyDescent="0.25"/>
  <cols>
    <col min="1" max="1" width="17.85546875" bestFit="1" customWidth="1"/>
    <col min="2" max="2" width="20.5703125" bestFit="1" customWidth="1"/>
    <col min="4" max="4" width="20.5703125" bestFit="1" customWidth="1"/>
    <col min="5" max="5" width="21.7109375" bestFit="1" customWidth="1"/>
    <col min="6" max="6" width="19.7109375" bestFit="1" customWidth="1"/>
    <col min="7" max="7" width="20.7109375" bestFit="1" customWidth="1"/>
    <col min="8" max="8" width="11.28515625" customWidth="1"/>
    <col min="9" max="9" width="9.5703125" customWidth="1"/>
    <col min="10" max="10" width="17.28515625" customWidth="1"/>
    <col min="11" max="11" width="26.140625" customWidth="1"/>
    <col min="12" max="12" width="21.7109375" customWidth="1"/>
    <col min="13" max="13" width="12.140625" customWidth="1"/>
    <col min="14" max="14" width="26.140625" customWidth="1"/>
    <col min="15" max="15" width="21.7109375" customWidth="1"/>
    <col min="16" max="16" width="26.28515625" bestFit="1" customWidth="1"/>
    <col min="17" max="17" width="21.7109375" bestFit="1" customWidth="1"/>
    <col min="18" max="18" width="26.28515625" bestFit="1" customWidth="1"/>
    <col min="19" max="19" width="18.28515625" bestFit="1" customWidth="1"/>
    <col min="20" max="20" width="15.85546875" bestFit="1" customWidth="1"/>
    <col min="21" max="21" width="14.42578125" bestFit="1" customWidth="1"/>
    <col min="22" max="22" width="23" bestFit="1" customWidth="1"/>
    <col min="23" max="23" width="16.42578125" bestFit="1" customWidth="1"/>
    <col min="24" max="24" width="18.28515625" bestFit="1" customWidth="1"/>
    <col min="25" max="25" width="17.7109375" bestFit="1" customWidth="1"/>
    <col min="26" max="26" width="15.7109375" bestFit="1" customWidth="1"/>
    <col min="27" max="28" width="15.42578125" bestFit="1" customWidth="1"/>
    <col min="29" max="29" width="14.42578125" bestFit="1" customWidth="1"/>
    <col min="30" max="30" width="19.28515625" bestFit="1" customWidth="1"/>
    <col min="31" max="31" width="15" bestFit="1" customWidth="1"/>
    <col min="32" max="32" width="19.7109375" bestFit="1" customWidth="1"/>
    <col min="33" max="33" width="15.42578125" bestFit="1" customWidth="1"/>
    <col min="34" max="34" width="14.42578125" bestFit="1" customWidth="1"/>
    <col min="35" max="35" width="20.140625" bestFit="1" customWidth="1"/>
    <col min="36" max="36" width="14" bestFit="1" customWidth="1"/>
    <col min="37" max="37" width="14.42578125" bestFit="1" customWidth="1"/>
  </cols>
  <sheetData>
    <row r="1" spans="1:21" x14ac:dyDescent="0.25">
      <c r="A1" s="4" t="s">
        <v>117</v>
      </c>
      <c r="B1" t="s">
        <v>23</v>
      </c>
      <c r="F1" t="s">
        <v>24</v>
      </c>
    </row>
    <row r="2" spans="1:21" x14ac:dyDescent="0.25">
      <c r="A2" s="5" t="s">
        <v>14</v>
      </c>
      <c r="B2" s="8">
        <v>107972.42</v>
      </c>
      <c r="F2" t="s">
        <v>25</v>
      </c>
    </row>
    <row r="3" spans="1:21" x14ac:dyDescent="0.25">
      <c r="A3" s="5" t="s">
        <v>4</v>
      </c>
      <c r="B3" s="8">
        <v>-60435.759999999995</v>
      </c>
      <c r="F3" t="s">
        <v>27</v>
      </c>
      <c r="G3" s="16" t="s">
        <v>91</v>
      </c>
      <c r="H3" s="16"/>
      <c r="Q3" s="16" t="s">
        <v>44</v>
      </c>
      <c r="T3" s="16" t="s">
        <v>42</v>
      </c>
    </row>
    <row r="4" spans="1:21" x14ac:dyDescent="0.25">
      <c r="A4" s="5" t="s">
        <v>87</v>
      </c>
      <c r="B4" s="8">
        <v>47536.66</v>
      </c>
      <c r="F4" t="s">
        <v>26</v>
      </c>
      <c r="G4" t="s">
        <v>89</v>
      </c>
      <c r="H4">
        <f>B2</f>
        <v>107972.42</v>
      </c>
      <c r="I4" s="15">
        <f>H4/SUM(H4:H5)</f>
        <v>0.64113524651831044</v>
      </c>
      <c r="Q4" s="4" t="s">
        <v>117</v>
      </c>
      <c r="R4" t="s">
        <v>93</v>
      </c>
      <c r="T4" s="4" t="s">
        <v>117</v>
      </c>
      <c r="U4" t="s">
        <v>23</v>
      </c>
    </row>
    <row r="5" spans="1:21" x14ac:dyDescent="0.25">
      <c r="F5" t="s">
        <v>28</v>
      </c>
      <c r="G5" t="s">
        <v>90</v>
      </c>
      <c r="H5">
        <f>-(B3)</f>
        <v>60435.759999999995</v>
      </c>
      <c r="I5" s="15">
        <f>H5/SUM(H4:H5)</f>
        <v>0.35886475348168956</v>
      </c>
      <c r="Q5" s="5" t="s">
        <v>4</v>
      </c>
      <c r="R5" s="8">
        <v>60435.759999999987</v>
      </c>
      <c r="T5" s="5" t="s">
        <v>14</v>
      </c>
      <c r="U5" s="18">
        <v>1</v>
      </c>
    </row>
    <row r="6" spans="1:21" x14ac:dyDescent="0.25">
      <c r="F6" t="s">
        <v>29</v>
      </c>
      <c r="Q6" s="6" t="s">
        <v>16</v>
      </c>
      <c r="R6" s="8">
        <v>53036.74</v>
      </c>
      <c r="T6" s="6" t="s">
        <v>78</v>
      </c>
      <c r="U6" s="18">
        <v>2.4010668650383121E-2</v>
      </c>
    </row>
    <row r="7" spans="1:21" x14ac:dyDescent="0.25">
      <c r="Q7" s="6" t="s">
        <v>15</v>
      </c>
      <c r="R7" s="8">
        <v>5945.3899999999994</v>
      </c>
      <c r="T7" s="6" t="s">
        <v>12</v>
      </c>
      <c r="U7" s="18">
        <v>0.97578557561273516</v>
      </c>
    </row>
    <row r="8" spans="1:21" x14ac:dyDescent="0.25">
      <c r="D8" s="4" t="s">
        <v>23</v>
      </c>
      <c r="E8" s="4" t="s">
        <v>118</v>
      </c>
      <c r="Q8" s="6" t="s">
        <v>67</v>
      </c>
      <c r="R8" s="8">
        <v>701.47</v>
      </c>
      <c r="T8" s="6" t="s">
        <v>95</v>
      </c>
      <c r="U8" s="21">
        <v>2.0375573688169625E-4</v>
      </c>
    </row>
    <row r="9" spans="1:21" x14ac:dyDescent="0.25">
      <c r="A9" t="s">
        <v>30</v>
      </c>
      <c r="D9" s="4" t="s">
        <v>117</v>
      </c>
      <c r="E9" t="s">
        <v>87</v>
      </c>
      <c r="Q9" s="6" t="s">
        <v>5</v>
      </c>
      <c r="R9" s="8">
        <v>415.82</v>
      </c>
    </row>
    <row r="10" spans="1:21" x14ac:dyDescent="0.25">
      <c r="A10" t="s">
        <v>31</v>
      </c>
      <c r="B10" t="s">
        <v>38</v>
      </c>
      <c r="D10" s="5" t="s">
        <v>88</v>
      </c>
      <c r="E10" s="8">
        <v>-1259.5399999999997</v>
      </c>
      <c r="Q10" s="6" t="s">
        <v>56</v>
      </c>
      <c r="R10" s="8">
        <v>146.33999999999997</v>
      </c>
    </row>
    <row r="11" spans="1:21" x14ac:dyDescent="0.25">
      <c r="A11" t="s">
        <v>32</v>
      </c>
      <c r="B11" t="s">
        <v>38</v>
      </c>
      <c r="D11" s="5" t="s">
        <v>101</v>
      </c>
      <c r="E11" s="8">
        <v>48796.2</v>
      </c>
      <c r="Q11" s="6" t="s">
        <v>60</v>
      </c>
      <c r="R11" s="8">
        <v>85.6</v>
      </c>
    </row>
    <row r="12" spans="1:21" x14ac:dyDescent="0.25">
      <c r="A12" t="s">
        <v>33</v>
      </c>
      <c r="B12" t="s">
        <v>38</v>
      </c>
      <c r="Q12" s="6" t="s">
        <v>107</v>
      </c>
      <c r="R12" s="8">
        <v>52.5</v>
      </c>
    </row>
    <row r="13" spans="1:21" x14ac:dyDescent="0.25">
      <c r="A13" t="s">
        <v>34</v>
      </c>
      <c r="B13" t="s">
        <v>38</v>
      </c>
      <c r="Q13" s="6" t="s">
        <v>155</v>
      </c>
      <c r="R13" s="8">
        <v>49.9</v>
      </c>
    </row>
    <row r="14" spans="1:21" x14ac:dyDescent="0.25">
      <c r="A14" t="s">
        <v>35</v>
      </c>
      <c r="B14" t="s">
        <v>38</v>
      </c>
      <c r="Q14" s="6" t="s">
        <v>82</v>
      </c>
      <c r="R14" s="8">
        <v>2</v>
      </c>
    </row>
    <row r="15" spans="1:21" x14ac:dyDescent="0.25">
      <c r="A15" t="s">
        <v>36</v>
      </c>
      <c r="B15" t="s">
        <v>38</v>
      </c>
      <c r="D15" s="10" t="s">
        <v>92</v>
      </c>
    </row>
    <row r="16" spans="1:21" x14ac:dyDescent="0.25">
      <c r="A16" t="s">
        <v>37</v>
      </c>
      <c r="B16" t="s">
        <v>38</v>
      </c>
      <c r="D16" s="4" t="s">
        <v>23</v>
      </c>
      <c r="E16" s="4" t="s">
        <v>118</v>
      </c>
    </row>
    <row r="17" spans="1:37" x14ac:dyDescent="0.25">
      <c r="A17" t="s">
        <v>39</v>
      </c>
      <c r="B17" t="s">
        <v>40</v>
      </c>
      <c r="D17" s="4" t="s">
        <v>117</v>
      </c>
      <c r="E17" t="s">
        <v>14</v>
      </c>
      <c r="F17" t="s">
        <v>4</v>
      </c>
      <c r="G17" t="s">
        <v>87</v>
      </c>
    </row>
    <row r="18" spans="1:37" x14ac:dyDescent="0.25">
      <c r="A18" t="s">
        <v>41</v>
      </c>
      <c r="D18" s="5">
        <v>2023</v>
      </c>
      <c r="E18" s="8">
        <v>7972.42</v>
      </c>
      <c r="F18" s="8">
        <v>-10435.759999999998</v>
      </c>
      <c r="G18" s="8">
        <v>-2463.34</v>
      </c>
    </row>
    <row r="19" spans="1:37" x14ac:dyDescent="0.25">
      <c r="A19" t="s">
        <v>42</v>
      </c>
      <c r="B19" t="s">
        <v>43</v>
      </c>
      <c r="D19" s="17" t="s">
        <v>22</v>
      </c>
      <c r="E19" s="8">
        <v>1954.99</v>
      </c>
      <c r="F19" s="8">
        <v>-3214.5299999999997</v>
      </c>
      <c r="G19" s="8">
        <v>-1259.5399999999997</v>
      </c>
    </row>
    <row r="20" spans="1:37" x14ac:dyDescent="0.25">
      <c r="A20" t="s">
        <v>44</v>
      </c>
      <c r="D20" s="17" t="s">
        <v>102</v>
      </c>
      <c r="E20" s="8">
        <v>2075.4299999999998</v>
      </c>
      <c r="F20" s="8">
        <v>-4045.58</v>
      </c>
      <c r="G20" s="8">
        <v>-1970.15</v>
      </c>
    </row>
    <row r="21" spans="1:37" x14ac:dyDescent="0.25">
      <c r="A21" t="s">
        <v>45</v>
      </c>
      <c r="D21" s="17" t="s">
        <v>153</v>
      </c>
      <c r="E21" s="8">
        <v>2017.5</v>
      </c>
      <c r="F21" s="8">
        <v>-1491.2700000000002</v>
      </c>
      <c r="G21" s="8">
        <v>526.22999999999979</v>
      </c>
    </row>
    <row r="22" spans="1:37" x14ac:dyDescent="0.25">
      <c r="D22" s="17" t="s">
        <v>157</v>
      </c>
      <c r="E22" s="8">
        <v>1924.5</v>
      </c>
      <c r="F22" s="8">
        <v>-1684.38</v>
      </c>
      <c r="G22" s="8">
        <v>240.11999999999989</v>
      </c>
    </row>
    <row r="23" spans="1:37" x14ac:dyDescent="0.25">
      <c r="D23" s="5">
        <v>2014</v>
      </c>
      <c r="E23" s="8">
        <v>100000</v>
      </c>
      <c r="F23" s="8"/>
      <c r="G23" s="8">
        <v>100000</v>
      </c>
    </row>
    <row r="24" spans="1:37" x14ac:dyDescent="0.25">
      <c r="D24" s="17" t="s">
        <v>22</v>
      </c>
      <c r="E24" s="8"/>
      <c r="F24" s="8"/>
      <c r="G24" s="8">
        <v>0</v>
      </c>
    </row>
    <row r="25" spans="1:37" x14ac:dyDescent="0.25">
      <c r="D25" s="17" t="s">
        <v>102</v>
      </c>
      <c r="E25" s="8"/>
      <c r="F25" s="8"/>
      <c r="G25" s="8">
        <v>0</v>
      </c>
    </row>
    <row r="26" spans="1:37" x14ac:dyDescent="0.25">
      <c r="D26" s="17" t="s">
        <v>153</v>
      </c>
      <c r="E26" s="8"/>
      <c r="F26" s="8"/>
      <c r="G26" s="8">
        <v>0</v>
      </c>
    </row>
    <row r="27" spans="1:37" x14ac:dyDescent="0.25">
      <c r="D27" s="17" t="s">
        <v>157</v>
      </c>
      <c r="E27" s="8">
        <v>100000</v>
      </c>
      <c r="F27" s="8"/>
      <c r="G27" s="8">
        <v>100000</v>
      </c>
    </row>
    <row r="28" spans="1:37" x14ac:dyDescent="0.25">
      <c r="D28" s="5">
        <v>2024</v>
      </c>
      <c r="E28" s="8"/>
      <c r="F28" s="8">
        <v>-50000</v>
      </c>
      <c r="G28" s="8">
        <v>-50000</v>
      </c>
    </row>
    <row r="29" spans="1:37" x14ac:dyDescent="0.25">
      <c r="D29" s="17" t="s">
        <v>22</v>
      </c>
      <c r="E29" s="8"/>
      <c r="F29" s="8"/>
      <c r="G29" s="8">
        <v>0</v>
      </c>
      <c r="P29" s="16" t="s">
        <v>45</v>
      </c>
    </row>
    <row r="30" spans="1:37" x14ac:dyDescent="0.25">
      <c r="D30" s="17" t="s">
        <v>102</v>
      </c>
      <c r="E30" s="8"/>
      <c r="F30" s="8"/>
      <c r="G30" s="8">
        <v>0</v>
      </c>
      <c r="P30" s="4" t="s">
        <v>93</v>
      </c>
      <c r="Q30" s="4" t="s">
        <v>118</v>
      </c>
    </row>
    <row r="31" spans="1:37" x14ac:dyDescent="0.25">
      <c r="D31" s="17" t="s">
        <v>153</v>
      </c>
      <c r="E31" s="8"/>
      <c r="F31" s="8"/>
      <c r="G31" s="8">
        <v>0</v>
      </c>
      <c r="P31" s="4" t="s">
        <v>117</v>
      </c>
      <c r="Q31" t="s">
        <v>54</v>
      </c>
      <c r="R31" t="s">
        <v>59</v>
      </c>
      <c r="S31" t="s">
        <v>81</v>
      </c>
      <c r="T31" t="s">
        <v>83</v>
      </c>
      <c r="U31" t="s">
        <v>66</v>
      </c>
      <c r="V31" t="s">
        <v>79</v>
      </c>
      <c r="W31" t="s">
        <v>68</v>
      </c>
      <c r="X31" t="s">
        <v>74</v>
      </c>
      <c r="Y31" t="s">
        <v>50</v>
      </c>
      <c r="Z31" t="s">
        <v>63</v>
      </c>
      <c r="AA31" t="s">
        <v>3</v>
      </c>
      <c r="AB31" t="s">
        <v>71</v>
      </c>
      <c r="AC31" t="s">
        <v>108</v>
      </c>
      <c r="AD31" t="s">
        <v>13</v>
      </c>
      <c r="AE31" t="s">
        <v>62</v>
      </c>
      <c r="AF31" t="s">
        <v>72</v>
      </c>
      <c r="AG31" t="s">
        <v>156</v>
      </c>
      <c r="AH31" t="s">
        <v>57</v>
      </c>
      <c r="AI31" t="s">
        <v>53</v>
      </c>
      <c r="AJ31" t="s">
        <v>58</v>
      </c>
      <c r="AK31" t="s">
        <v>154</v>
      </c>
    </row>
    <row r="32" spans="1:37" x14ac:dyDescent="0.25">
      <c r="D32" s="17" t="s">
        <v>157</v>
      </c>
      <c r="E32" s="8"/>
      <c r="F32" s="8">
        <v>-50000</v>
      </c>
      <c r="G32" s="8">
        <v>-50000</v>
      </c>
      <c r="P32" s="5" t="s">
        <v>22</v>
      </c>
      <c r="Q32" s="8">
        <v>20</v>
      </c>
      <c r="R32" s="8">
        <v>33.6</v>
      </c>
      <c r="S32" s="8">
        <v>2</v>
      </c>
      <c r="T32" s="8">
        <v>65</v>
      </c>
      <c r="U32" s="8">
        <v>20</v>
      </c>
      <c r="V32" s="8">
        <v>60.6</v>
      </c>
      <c r="W32" s="8">
        <v>28.6</v>
      </c>
      <c r="X32" s="8">
        <v>2450</v>
      </c>
      <c r="Y32" s="8">
        <v>500</v>
      </c>
      <c r="Z32" s="8">
        <v>34.729999999999997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v>0</v>
      </c>
    </row>
    <row r="33" spans="16:37" x14ac:dyDescent="0.25">
      <c r="P33" s="6" t="s">
        <v>4</v>
      </c>
      <c r="Q33" s="8">
        <v>20</v>
      </c>
      <c r="R33" s="8">
        <v>33.6</v>
      </c>
      <c r="S33" s="8">
        <v>2</v>
      </c>
      <c r="T33" s="8">
        <v>65</v>
      </c>
      <c r="U33" s="8">
        <v>20</v>
      </c>
      <c r="V33" s="8">
        <v>60.6</v>
      </c>
      <c r="W33" s="8">
        <v>28.6</v>
      </c>
      <c r="X33" s="8">
        <v>2450</v>
      </c>
      <c r="Y33" s="8">
        <v>500</v>
      </c>
      <c r="Z33" s="8">
        <v>34.729999999999997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</row>
    <row r="34" spans="16:37" x14ac:dyDescent="0.25">
      <c r="P34" s="5" t="s">
        <v>102</v>
      </c>
      <c r="Q34" s="8">
        <v>0</v>
      </c>
      <c r="R34" s="8">
        <v>0</v>
      </c>
      <c r="S34" s="8">
        <v>0</v>
      </c>
      <c r="T34" s="8">
        <v>230.75</v>
      </c>
      <c r="U34" s="8">
        <v>0</v>
      </c>
      <c r="V34" s="8">
        <v>334.9</v>
      </c>
      <c r="W34" s="8">
        <v>51.82</v>
      </c>
      <c r="X34" s="8">
        <v>100</v>
      </c>
      <c r="Y34" s="8">
        <v>1802.17</v>
      </c>
      <c r="Z34" s="8">
        <v>0</v>
      </c>
      <c r="AA34" s="8">
        <v>80</v>
      </c>
      <c r="AB34" s="8">
        <v>100</v>
      </c>
      <c r="AC34" s="8">
        <v>52.5</v>
      </c>
      <c r="AD34" s="8">
        <v>707.7</v>
      </c>
      <c r="AE34" s="8">
        <v>151.09</v>
      </c>
      <c r="AF34" s="8">
        <v>166.86</v>
      </c>
      <c r="AG34" s="8">
        <v>213</v>
      </c>
      <c r="AH34" s="8">
        <v>29.79</v>
      </c>
      <c r="AI34" s="8">
        <v>25</v>
      </c>
      <c r="AJ34" s="8">
        <v>0</v>
      </c>
      <c r="AK34" s="8">
        <v>0</v>
      </c>
    </row>
    <row r="35" spans="16:37" x14ac:dyDescent="0.25">
      <c r="P35" s="6" t="s">
        <v>4</v>
      </c>
      <c r="Q35" s="8">
        <v>0</v>
      </c>
      <c r="R35" s="8">
        <v>0</v>
      </c>
      <c r="S35" s="8">
        <v>0</v>
      </c>
      <c r="T35" s="8">
        <v>230.75</v>
      </c>
      <c r="U35" s="8">
        <v>0</v>
      </c>
      <c r="V35" s="8">
        <v>334.9</v>
      </c>
      <c r="W35" s="8">
        <v>51.82</v>
      </c>
      <c r="X35" s="8">
        <v>100</v>
      </c>
      <c r="Y35" s="8">
        <v>1802.17</v>
      </c>
      <c r="Z35" s="8">
        <v>0</v>
      </c>
      <c r="AA35" s="8">
        <v>80</v>
      </c>
      <c r="AB35" s="8">
        <v>100</v>
      </c>
      <c r="AC35" s="8">
        <v>52.5</v>
      </c>
      <c r="AD35" s="8">
        <v>707.7</v>
      </c>
      <c r="AE35" s="8">
        <v>151.09</v>
      </c>
      <c r="AF35" s="8">
        <v>166.86</v>
      </c>
      <c r="AG35" s="8">
        <v>213</v>
      </c>
      <c r="AH35" s="8">
        <v>29.79</v>
      </c>
      <c r="AI35" s="8">
        <v>25</v>
      </c>
      <c r="AJ35" s="8">
        <v>0</v>
      </c>
      <c r="AK35" s="8">
        <v>0</v>
      </c>
    </row>
    <row r="36" spans="16:37" x14ac:dyDescent="0.25">
      <c r="P36" s="5" t="s">
        <v>153</v>
      </c>
      <c r="Q36" s="8">
        <v>0</v>
      </c>
      <c r="R36" s="8">
        <v>0</v>
      </c>
      <c r="S36" s="8">
        <v>0</v>
      </c>
      <c r="T36" s="8">
        <v>104.8</v>
      </c>
      <c r="U36" s="8">
        <v>0</v>
      </c>
      <c r="V36" s="8">
        <v>392.2</v>
      </c>
      <c r="W36" s="8">
        <v>0</v>
      </c>
      <c r="X36" s="8">
        <v>50</v>
      </c>
      <c r="Y36" s="8">
        <v>42</v>
      </c>
      <c r="Z36" s="8">
        <v>0</v>
      </c>
      <c r="AA36" s="8">
        <v>50</v>
      </c>
      <c r="AB36" s="8">
        <v>0</v>
      </c>
      <c r="AC36" s="8">
        <v>0</v>
      </c>
      <c r="AD36" s="8">
        <v>707.7</v>
      </c>
      <c r="AE36" s="8">
        <v>0</v>
      </c>
      <c r="AF36" s="8">
        <v>0</v>
      </c>
      <c r="AG36" s="8">
        <v>0</v>
      </c>
      <c r="AH36" s="8">
        <v>44.86</v>
      </c>
      <c r="AI36" s="8">
        <v>25</v>
      </c>
      <c r="AJ36" s="8">
        <v>74.709999999999994</v>
      </c>
      <c r="AK36" s="8">
        <v>0</v>
      </c>
    </row>
    <row r="37" spans="16:37" x14ac:dyDescent="0.25">
      <c r="P37" s="6" t="s">
        <v>4</v>
      </c>
      <c r="Q37" s="8">
        <v>0</v>
      </c>
      <c r="R37" s="8">
        <v>0</v>
      </c>
      <c r="S37" s="8">
        <v>0</v>
      </c>
      <c r="T37" s="8">
        <v>104.8</v>
      </c>
      <c r="U37" s="8">
        <v>0</v>
      </c>
      <c r="V37" s="8">
        <v>392.2</v>
      </c>
      <c r="W37" s="8">
        <v>0</v>
      </c>
      <c r="X37" s="8">
        <v>50</v>
      </c>
      <c r="Y37" s="8">
        <v>42</v>
      </c>
      <c r="Z37" s="8">
        <v>0</v>
      </c>
      <c r="AA37" s="8">
        <v>50</v>
      </c>
      <c r="AB37" s="8">
        <v>0</v>
      </c>
      <c r="AC37" s="8">
        <v>0</v>
      </c>
      <c r="AD37" s="8">
        <v>707.7</v>
      </c>
      <c r="AE37" s="8">
        <v>0</v>
      </c>
      <c r="AF37" s="8">
        <v>0</v>
      </c>
      <c r="AG37" s="8">
        <v>0</v>
      </c>
      <c r="AH37" s="8">
        <v>44.86</v>
      </c>
      <c r="AI37" s="8">
        <v>25</v>
      </c>
      <c r="AJ37" s="8">
        <v>74.709999999999994</v>
      </c>
      <c r="AK37" s="8">
        <v>0</v>
      </c>
    </row>
    <row r="38" spans="16:37" x14ac:dyDescent="0.25">
      <c r="P38" s="5" t="s">
        <v>157</v>
      </c>
      <c r="Q38" s="8">
        <v>0</v>
      </c>
      <c r="R38" s="8">
        <v>52</v>
      </c>
      <c r="S38" s="8">
        <v>0</v>
      </c>
      <c r="T38" s="8">
        <v>200.5</v>
      </c>
      <c r="U38" s="8">
        <v>0</v>
      </c>
      <c r="V38" s="8">
        <v>434.59</v>
      </c>
      <c r="W38" s="8">
        <v>0</v>
      </c>
      <c r="X38" s="8">
        <v>0</v>
      </c>
      <c r="Y38" s="8">
        <v>18</v>
      </c>
      <c r="Z38" s="8">
        <v>0</v>
      </c>
      <c r="AA38" s="8">
        <v>100</v>
      </c>
      <c r="AB38" s="8">
        <v>0</v>
      </c>
      <c r="AC38" s="8">
        <v>0</v>
      </c>
      <c r="AD38" s="8">
        <v>707.7</v>
      </c>
      <c r="AE38" s="8">
        <v>0</v>
      </c>
      <c r="AF38" s="8">
        <v>50000</v>
      </c>
      <c r="AG38" s="8">
        <v>0</v>
      </c>
      <c r="AH38" s="8">
        <v>71.69</v>
      </c>
      <c r="AI38" s="8">
        <v>50</v>
      </c>
      <c r="AJ38" s="8">
        <v>0</v>
      </c>
      <c r="AK38" s="8">
        <v>49.9</v>
      </c>
    </row>
    <row r="39" spans="16:37" x14ac:dyDescent="0.25">
      <c r="P39" s="6" t="s">
        <v>4</v>
      </c>
      <c r="Q39" s="8">
        <v>0</v>
      </c>
      <c r="R39" s="8">
        <v>52</v>
      </c>
      <c r="S39" s="8">
        <v>0</v>
      </c>
      <c r="T39" s="8">
        <v>200.5</v>
      </c>
      <c r="U39" s="8">
        <v>0</v>
      </c>
      <c r="V39" s="8">
        <v>434.59</v>
      </c>
      <c r="W39" s="8">
        <v>0</v>
      </c>
      <c r="X39" s="8">
        <v>0</v>
      </c>
      <c r="Y39" s="8">
        <v>18</v>
      </c>
      <c r="Z39" s="8">
        <v>0</v>
      </c>
      <c r="AA39" s="8">
        <v>100</v>
      </c>
      <c r="AB39" s="8">
        <v>0</v>
      </c>
      <c r="AC39" s="8">
        <v>0</v>
      </c>
      <c r="AD39" s="8">
        <v>707.7</v>
      </c>
      <c r="AE39" s="8">
        <v>0</v>
      </c>
      <c r="AF39" s="8">
        <v>50000</v>
      </c>
      <c r="AG39" s="8">
        <v>0</v>
      </c>
      <c r="AH39" s="8">
        <v>71.69</v>
      </c>
      <c r="AI39" s="8">
        <v>50</v>
      </c>
      <c r="AJ39" s="8">
        <v>0</v>
      </c>
      <c r="AK39" s="8">
        <v>49.9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E16A7-AE9C-45EA-8E95-5DAE50601C68}">
  <sheetPr codeName="Planilha1"/>
  <dimension ref="A1:C30"/>
  <sheetViews>
    <sheetView workbookViewId="0">
      <pane ySplit="1" topLeftCell="A17" activePane="bottomLeft" state="frozen"/>
      <selection pane="bottomLeft" activeCell="A31" sqref="A31"/>
    </sheetView>
  </sheetViews>
  <sheetFormatPr defaultRowHeight="15" x14ac:dyDescent="0.25"/>
  <cols>
    <col min="1" max="1" width="20.140625" customWidth="1"/>
    <col min="3" max="3" width="17.42578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54</v>
      </c>
      <c r="B2" t="s">
        <v>4</v>
      </c>
      <c r="C2" t="s">
        <v>16</v>
      </c>
    </row>
    <row r="3" spans="1:3" x14ac:dyDescent="0.25">
      <c r="A3" t="s">
        <v>59</v>
      </c>
      <c r="B3" t="s">
        <v>4</v>
      </c>
      <c r="C3" t="s">
        <v>60</v>
      </c>
    </row>
    <row r="4" spans="1:3" x14ac:dyDescent="0.25">
      <c r="A4" t="s">
        <v>3</v>
      </c>
      <c r="B4" t="s">
        <v>4</v>
      </c>
      <c r="C4" t="s">
        <v>5</v>
      </c>
    </row>
    <row r="5" spans="1:3" x14ac:dyDescent="0.25">
      <c r="A5" t="s">
        <v>81</v>
      </c>
      <c r="B5" t="s">
        <v>4</v>
      </c>
      <c r="C5" t="s">
        <v>82</v>
      </c>
    </row>
    <row r="6" spans="1:3" x14ac:dyDescent="0.25">
      <c r="A6" t="s">
        <v>55</v>
      </c>
      <c r="B6" t="s">
        <v>4</v>
      </c>
      <c r="C6" t="s">
        <v>56</v>
      </c>
    </row>
    <row r="7" spans="1:3" x14ac:dyDescent="0.25">
      <c r="A7" t="s">
        <v>57</v>
      </c>
      <c r="B7" t="s">
        <v>4</v>
      </c>
      <c r="C7" t="s">
        <v>56</v>
      </c>
    </row>
    <row r="8" spans="1:3" x14ac:dyDescent="0.25">
      <c r="A8" t="s">
        <v>58</v>
      </c>
      <c r="B8" t="s">
        <v>4</v>
      </c>
      <c r="C8" t="s">
        <v>16</v>
      </c>
    </row>
    <row r="9" spans="1:3" x14ac:dyDescent="0.25">
      <c r="A9" s="2" t="s">
        <v>13</v>
      </c>
      <c r="B9" t="s">
        <v>4</v>
      </c>
      <c r="C9" t="s">
        <v>15</v>
      </c>
    </row>
    <row r="10" spans="1:3" x14ac:dyDescent="0.25">
      <c r="A10" s="2" t="s">
        <v>53</v>
      </c>
      <c r="B10" t="s">
        <v>4</v>
      </c>
      <c r="C10" t="s">
        <v>16</v>
      </c>
    </row>
    <row r="11" spans="1:3" x14ac:dyDescent="0.25">
      <c r="A11" t="s">
        <v>61</v>
      </c>
      <c r="B11" t="s">
        <v>4</v>
      </c>
      <c r="C11" t="s">
        <v>15</v>
      </c>
    </row>
    <row r="12" spans="1:3" x14ac:dyDescent="0.25">
      <c r="A12" t="s">
        <v>62</v>
      </c>
      <c r="B12" t="s">
        <v>4</v>
      </c>
      <c r="C12" t="s">
        <v>5</v>
      </c>
    </row>
    <row r="13" spans="1:3" x14ac:dyDescent="0.25">
      <c r="A13" t="s">
        <v>83</v>
      </c>
      <c r="B13" t="s">
        <v>4</v>
      </c>
      <c r="C13" t="s">
        <v>67</v>
      </c>
    </row>
    <row r="14" spans="1:3" x14ac:dyDescent="0.25">
      <c r="A14" t="s">
        <v>63</v>
      </c>
      <c r="B14" t="s">
        <v>4</v>
      </c>
      <c r="C14" t="s">
        <v>5</v>
      </c>
    </row>
    <row r="15" spans="1:3" x14ac:dyDescent="0.25">
      <c r="A15" t="s">
        <v>64</v>
      </c>
      <c r="B15" t="s">
        <v>4</v>
      </c>
      <c r="C15" t="s">
        <v>60</v>
      </c>
    </row>
    <row r="16" spans="1:3" x14ac:dyDescent="0.25">
      <c r="A16" t="s">
        <v>65</v>
      </c>
      <c r="B16" t="s">
        <v>4</v>
      </c>
      <c r="C16" t="s">
        <v>5</v>
      </c>
    </row>
    <row r="17" spans="1:3" x14ac:dyDescent="0.25">
      <c r="A17" t="s">
        <v>66</v>
      </c>
      <c r="B17" t="s">
        <v>4</v>
      </c>
      <c r="C17" t="s">
        <v>67</v>
      </c>
    </row>
    <row r="18" spans="1:3" x14ac:dyDescent="0.25">
      <c r="A18" t="s">
        <v>79</v>
      </c>
      <c r="B18" t="s">
        <v>4</v>
      </c>
      <c r="C18" t="s">
        <v>15</v>
      </c>
    </row>
    <row r="19" spans="1:3" x14ac:dyDescent="0.25">
      <c r="A19" t="s">
        <v>78</v>
      </c>
      <c r="B19" t="s">
        <v>14</v>
      </c>
    </row>
    <row r="20" spans="1:3" x14ac:dyDescent="0.25">
      <c r="A20" t="s">
        <v>68</v>
      </c>
      <c r="B20" t="s">
        <v>4</v>
      </c>
      <c r="C20" t="s">
        <v>67</v>
      </c>
    </row>
    <row r="21" spans="1:3" x14ac:dyDescent="0.25">
      <c r="A21" s="2" t="s">
        <v>12</v>
      </c>
      <c r="B21" t="s">
        <v>14</v>
      </c>
    </row>
    <row r="22" spans="1:3" x14ac:dyDescent="0.25">
      <c r="A22" t="s">
        <v>74</v>
      </c>
      <c r="B22" t="s">
        <v>4</v>
      </c>
      <c r="C22" t="s">
        <v>15</v>
      </c>
    </row>
    <row r="23" spans="1:3" x14ac:dyDescent="0.25">
      <c r="A23" t="s">
        <v>69</v>
      </c>
      <c r="B23" t="s">
        <v>4</v>
      </c>
      <c r="C23" t="s">
        <v>70</v>
      </c>
    </row>
    <row r="24" spans="1:3" x14ac:dyDescent="0.25">
      <c r="A24" s="2" t="s">
        <v>50</v>
      </c>
      <c r="B24" t="s">
        <v>4</v>
      </c>
      <c r="C24" t="s">
        <v>16</v>
      </c>
    </row>
    <row r="25" spans="1:3" x14ac:dyDescent="0.25">
      <c r="A25" t="s">
        <v>95</v>
      </c>
      <c r="B25" t="s">
        <v>14</v>
      </c>
      <c r="C25" t="s">
        <v>16</v>
      </c>
    </row>
    <row r="26" spans="1:3" x14ac:dyDescent="0.25">
      <c r="A26" t="s">
        <v>71</v>
      </c>
      <c r="B26" t="s">
        <v>4</v>
      </c>
      <c r="C26" t="s">
        <v>16</v>
      </c>
    </row>
    <row r="27" spans="1:3" x14ac:dyDescent="0.25">
      <c r="A27" t="s">
        <v>72</v>
      </c>
      <c r="B27" t="s">
        <v>4</v>
      </c>
      <c r="C27" t="s">
        <v>16</v>
      </c>
    </row>
    <row r="28" spans="1:3" x14ac:dyDescent="0.25">
      <c r="A28" t="s">
        <v>108</v>
      </c>
      <c r="B28" t="s">
        <v>4</v>
      </c>
      <c r="C28" t="s">
        <v>107</v>
      </c>
    </row>
    <row r="29" spans="1:3" x14ac:dyDescent="0.25">
      <c r="A29" t="s">
        <v>154</v>
      </c>
      <c r="B29" t="s">
        <v>4</v>
      </c>
      <c r="C29" t="s">
        <v>155</v>
      </c>
    </row>
    <row r="30" spans="1:3" x14ac:dyDescent="0.25">
      <c r="A30" t="s">
        <v>156</v>
      </c>
      <c r="B30" t="s">
        <v>4</v>
      </c>
      <c r="C30" t="s">
        <v>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11677-B0D5-43E7-A92F-E5C1A0CD00A6}">
  <sheetPr codeName="Planilha3"/>
  <dimension ref="A1:J139"/>
  <sheetViews>
    <sheetView topLeftCell="E1" zoomScaleNormal="100" workbookViewId="0">
      <pane ySplit="1" topLeftCell="A131" activePane="bottomLeft" state="frozen"/>
      <selection pane="bottomLeft" activeCell="G144" sqref="G144"/>
    </sheetView>
  </sheetViews>
  <sheetFormatPr defaultRowHeight="15" x14ac:dyDescent="0.25"/>
  <cols>
    <col min="1" max="1" width="9.42578125" customWidth="1"/>
    <col min="2" max="2" width="9.7109375" customWidth="1"/>
    <col min="3" max="3" width="74.42578125" customWidth="1"/>
    <col min="4" max="4" width="13.28515625" style="14" customWidth="1"/>
    <col min="5" max="5" width="17.28515625" customWidth="1"/>
    <col min="7" max="7" width="17.42578125" customWidth="1"/>
  </cols>
  <sheetData>
    <row r="1" spans="1:10" x14ac:dyDescent="0.25">
      <c r="A1" t="s">
        <v>6</v>
      </c>
      <c r="B1" t="s">
        <v>7</v>
      </c>
      <c r="C1" s="22" t="s">
        <v>8</v>
      </c>
      <c r="D1" s="14" t="s">
        <v>9</v>
      </c>
      <c r="E1" t="s">
        <v>17</v>
      </c>
      <c r="F1" t="s">
        <v>1</v>
      </c>
      <c r="G1" t="s">
        <v>10</v>
      </c>
      <c r="H1" t="s">
        <v>18</v>
      </c>
      <c r="I1" t="s">
        <v>19</v>
      </c>
      <c r="J1" t="s">
        <v>20</v>
      </c>
    </row>
    <row r="2" spans="1:10" x14ac:dyDescent="0.25">
      <c r="A2" t="s">
        <v>11</v>
      </c>
      <c r="B2" s="1">
        <v>45180</v>
      </c>
      <c r="C2" s="23" t="s">
        <v>51</v>
      </c>
      <c r="D2" s="14">
        <v>1141</v>
      </c>
      <c r="E2" t="s">
        <v>12</v>
      </c>
      <c r="F2" s="3" t="str">
        <f>VLOOKUP(Tabela2[[#This Row],[DESCRICAO]],Tabela1[#All],2,0)</f>
        <v>RECEITA</v>
      </c>
      <c r="G2">
        <f>VLOOKUP(Tabela2[[#This Row],[DESCRICAO]],Tabela1[#All],3,0)</f>
        <v>0</v>
      </c>
      <c r="H2">
        <f>YEAR(Tabela2[[#This Row],[DATA]])</f>
        <v>2023</v>
      </c>
      <c r="I2" t="str">
        <f>INT((MONTH(Tabela2[[#This Row],[DATA]])-1)/3)+1&amp;"° TRI"</f>
        <v>3° TRI</v>
      </c>
      <c r="J2" t="str">
        <f>TEXT(Tabela2[[#This Row],[DATA]],"mmm")</f>
        <v>Sep</v>
      </c>
    </row>
    <row r="3" spans="1:10" x14ac:dyDescent="0.25">
      <c r="A3" t="s">
        <v>11</v>
      </c>
      <c r="B3" s="1">
        <v>45180</v>
      </c>
      <c r="C3" s="24" t="s">
        <v>49</v>
      </c>
      <c r="D3" s="14">
        <v>9.99</v>
      </c>
      <c r="E3" t="s">
        <v>12</v>
      </c>
      <c r="F3" t="str">
        <f>VLOOKUP(Tabela2[[#This Row],[DESCRICAO]],Tabela1[#All],2,0)</f>
        <v>RECEITA</v>
      </c>
      <c r="G3">
        <f>VLOOKUP(Tabela2[[#This Row],[DESCRICAO]],Tabela1[#All],3,0)</f>
        <v>0</v>
      </c>
      <c r="H3">
        <f>YEAR(Tabela2[[#This Row],[DATA]])</f>
        <v>2023</v>
      </c>
      <c r="I3" t="str">
        <f>INT((MONTH(Tabela2[[#This Row],[DATA]])-1)/3)+1&amp;"° TRI"</f>
        <v>3° TRI</v>
      </c>
      <c r="J3" t="str">
        <f>TEXT(Tabela2[[#This Row],[DATA]],"mmm")</f>
        <v>Sep</v>
      </c>
    </row>
    <row r="4" spans="1:10" x14ac:dyDescent="0.25">
      <c r="A4" t="s">
        <v>11</v>
      </c>
      <c r="B4" s="1">
        <v>45180</v>
      </c>
      <c r="C4" s="24" t="s">
        <v>52</v>
      </c>
      <c r="D4" s="14">
        <v>-5</v>
      </c>
      <c r="E4" t="s">
        <v>66</v>
      </c>
      <c r="F4" t="str">
        <f>VLOOKUP(Tabela2[[#This Row],[DESCRICAO]],Tabela1[#All],2,0)</f>
        <v>DESPESA</v>
      </c>
      <c r="G4" t="str">
        <f>VLOOKUP(Tabela2[[#This Row],[DESCRICAO]],Tabela1[#All],3,0)</f>
        <v>Alimentação</v>
      </c>
      <c r="H4">
        <f>YEAR(Tabela2[[#This Row],[DATA]])</f>
        <v>2023</v>
      </c>
      <c r="I4" t="str">
        <f>INT((MONTH(Tabela2[[#This Row],[DATA]])-1)/3)+1&amp;"° TRI"</f>
        <v>3° TRI</v>
      </c>
      <c r="J4" t="str">
        <f>TEXT(Tabela2[[#This Row],[DATA]],"mmm")</f>
        <v>Sep</v>
      </c>
    </row>
    <row r="5" spans="1:10" x14ac:dyDescent="0.25">
      <c r="A5" t="s">
        <v>11</v>
      </c>
      <c r="B5" s="1">
        <v>45180</v>
      </c>
      <c r="C5" s="24" t="s">
        <v>73</v>
      </c>
      <c r="D5" s="14">
        <v>-1000</v>
      </c>
      <c r="E5" t="s">
        <v>74</v>
      </c>
      <c r="F5" t="str">
        <f>VLOOKUP(Tabela2[[#This Row],[DESCRICAO]],Tabela1[#All],2,0)</f>
        <v>DESPESA</v>
      </c>
      <c r="G5" t="str">
        <f>VLOOKUP(Tabela2[[#This Row],[DESCRICAO]],Tabela1[#All],3,0)</f>
        <v>Serviço Financeiro</v>
      </c>
      <c r="H5">
        <f>YEAR(Tabela2[[#This Row],[DATA]])</f>
        <v>2023</v>
      </c>
      <c r="I5" t="str">
        <f>INT((MONTH(Tabela2[[#This Row],[DATA]])-1)/3)+1&amp;"° TRI"</f>
        <v>3° TRI</v>
      </c>
      <c r="J5" t="str">
        <f>TEXT(Tabela2[[#This Row],[DATA]],"mmm")</f>
        <v>Sep</v>
      </c>
    </row>
    <row r="6" spans="1:10" x14ac:dyDescent="0.25">
      <c r="A6" t="s">
        <v>11</v>
      </c>
      <c r="B6" s="1">
        <v>45180</v>
      </c>
      <c r="C6" s="24" t="s">
        <v>73</v>
      </c>
      <c r="D6" s="14">
        <v>-1000</v>
      </c>
      <c r="E6" t="s">
        <v>74</v>
      </c>
      <c r="F6" t="str">
        <f>VLOOKUP(Tabela2[[#This Row],[DESCRICAO]],Tabela1[#All],2,0)</f>
        <v>DESPESA</v>
      </c>
      <c r="G6" t="str">
        <f>VLOOKUP(Tabela2[[#This Row],[DESCRICAO]],Tabela1[#All],3,0)</f>
        <v>Serviço Financeiro</v>
      </c>
      <c r="H6">
        <f>YEAR(Tabela2[[#This Row],[DATA]])</f>
        <v>2023</v>
      </c>
      <c r="I6" t="str">
        <f>INT((MONTH(Tabela2[[#This Row],[DATA]])-1)/3)+1&amp;"° TRI"</f>
        <v>3° TRI</v>
      </c>
      <c r="J6" t="str">
        <f>TEXT(Tabela2[[#This Row],[DATA]],"mmm")</f>
        <v>Sep</v>
      </c>
    </row>
    <row r="7" spans="1:10" x14ac:dyDescent="0.25">
      <c r="A7" t="s">
        <v>11</v>
      </c>
      <c r="B7" s="1">
        <v>45181</v>
      </c>
      <c r="C7" s="24" t="s">
        <v>75</v>
      </c>
      <c r="D7" s="14">
        <v>-5</v>
      </c>
      <c r="E7" t="s">
        <v>66</v>
      </c>
      <c r="F7" t="str">
        <f>VLOOKUP(Tabela2[[#This Row],[DESCRICAO]],Tabela1[#All],2,0)</f>
        <v>DESPESA</v>
      </c>
      <c r="G7" t="str">
        <f>VLOOKUP(Tabela2[[#This Row],[DESCRICAO]],Tabela1[#All],3,0)</f>
        <v>Alimentação</v>
      </c>
      <c r="H7">
        <f>YEAR(Tabela2[[#This Row],[DATA]])</f>
        <v>2023</v>
      </c>
      <c r="I7" t="str">
        <f>INT((MONTH(Tabela2[[#This Row],[DATA]])-1)/3)+1&amp;"° TRI"</f>
        <v>3° TRI</v>
      </c>
      <c r="J7" t="str">
        <f>TEXT(Tabela2[[#This Row],[DATA]],"mmm")</f>
        <v>Sep</v>
      </c>
    </row>
    <row r="8" spans="1:10" x14ac:dyDescent="0.25">
      <c r="A8" t="s">
        <v>11</v>
      </c>
      <c r="B8" s="1">
        <v>45181</v>
      </c>
      <c r="C8" s="24" t="s">
        <v>76</v>
      </c>
      <c r="D8" s="14">
        <v>-4</v>
      </c>
      <c r="E8" t="s">
        <v>66</v>
      </c>
      <c r="F8" t="str">
        <f>VLOOKUP(Tabela2[[#This Row],[DESCRICAO]],Tabela1[#All],2,0)</f>
        <v>DESPESA</v>
      </c>
      <c r="G8" t="str">
        <f>VLOOKUP(Tabela2[[#This Row],[DESCRICAO]],Tabela1[#All],3,0)</f>
        <v>Alimentação</v>
      </c>
      <c r="H8">
        <f>YEAR(Tabela2[[#This Row],[DATA]])</f>
        <v>2023</v>
      </c>
      <c r="I8" t="str">
        <f>INT((MONTH(Tabela2[[#This Row],[DATA]])-1)/3)+1&amp;"° TRI"</f>
        <v>3° TRI</v>
      </c>
      <c r="J8" t="str">
        <f>TEXT(Tabela2[[#This Row],[DATA]],"mmm")</f>
        <v>Sep</v>
      </c>
    </row>
    <row r="9" spans="1:10" x14ac:dyDescent="0.25">
      <c r="A9" t="s">
        <v>11</v>
      </c>
      <c r="B9" s="1">
        <v>45182</v>
      </c>
      <c r="C9" s="27" t="s">
        <v>75</v>
      </c>
      <c r="D9" s="14">
        <v>-6</v>
      </c>
      <c r="E9" t="s">
        <v>66</v>
      </c>
      <c r="F9" t="str">
        <f>VLOOKUP(Tabela2[[#This Row],[DESCRICAO]],Tabela1[#All],2,0)</f>
        <v>DESPESA</v>
      </c>
      <c r="G9" t="str">
        <f>VLOOKUP(Tabela2[[#This Row],[DESCRICAO]],Tabela1[#All],3,0)</f>
        <v>Alimentação</v>
      </c>
      <c r="H9">
        <f>YEAR(Tabela2[[#This Row],[DATA]])</f>
        <v>2023</v>
      </c>
      <c r="I9" t="str">
        <f>INT((MONTH(Tabela2[[#This Row],[DATA]])-1)/3)+1&amp;"° TRI"</f>
        <v>3° TRI</v>
      </c>
      <c r="J9" t="str">
        <f>TEXT(Tabela2[[#This Row],[DATA]],"mmm")</f>
        <v>Sep</v>
      </c>
    </row>
    <row r="10" spans="1:10" x14ac:dyDescent="0.25">
      <c r="A10" t="s">
        <v>11</v>
      </c>
      <c r="B10" s="1">
        <v>45183</v>
      </c>
      <c r="C10" s="22" t="s">
        <v>77</v>
      </c>
      <c r="D10" s="14">
        <v>804</v>
      </c>
      <c r="E10" t="s">
        <v>78</v>
      </c>
      <c r="F10" t="str">
        <f>VLOOKUP(Tabela2[[#This Row],[DESCRICAO]],Tabela1[#All],2,0)</f>
        <v>RECEITA</v>
      </c>
      <c r="G10">
        <f>VLOOKUP(Tabela2[[#This Row],[DESCRICAO]],Tabela1[#All],3,0)</f>
        <v>0</v>
      </c>
      <c r="H10">
        <f>YEAR(Tabela2[[#This Row],[DATA]])</f>
        <v>2023</v>
      </c>
      <c r="I10" t="str">
        <f>INT((MONTH(Tabela2[[#This Row],[DATA]])-1)/3)+1&amp;"° TRI"</f>
        <v>3° TRI</v>
      </c>
      <c r="J10" t="str">
        <f>TEXT(Tabela2[[#This Row],[DATA]],"mmm")</f>
        <v>Sep</v>
      </c>
    </row>
    <row r="11" spans="1:10" x14ac:dyDescent="0.25">
      <c r="A11" t="s">
        <v>11</v>
      </c>
      <c r="B11" s="1">
        <v>45187</v>
      </c>
      <c r="C11" s="22" t="s">
        <v>46</v>
      </c>
      <c r="D11" s="14">
        <v>-460</v>
      </c>
      <c r="E11" t="s">
        <v>50</v>
      </c>
      <c r="F11" t="str">
        <f>VLOOKUP(Tabela2[[#This Row],[DESCRICAO]],Tabela1[#All],2,0)</f>
        <v>DESPESA</v>
      </c>
      <c r="G11" t="str">
        <f>VLOOKUP(Tabela2[[#This Row],[DESCRICAO]],Tabela1[#All],3,0)</f>
        <v>Pessoal</v>
      </c>
      <c r="H11">
        <f>YEAR(Tabela2[[#This Row],[DATA]])</f>
        <v>2023</v>
      </c>
      <c r="I11" t="str">
        <f>INT((MONTH(Tabela2[[#This Row],[DATA]])-1)/3)+1&amp;"° TRI"</f>
        <v>3° TRI</v>
      </c>
      <c r="J11" t="str">
        <f>TEXT(Tabela2[[#This Row],[DATA]],"mmm")</f>
        <v>Sep</v>
      </c>
    </row>
    <row r="12" spans="1:10" x14ac:dyDescent="0.25">
      <c r="A12" t="s">
        <v>94</v>
      </c>
      <c r="B12" s="1">
        <v>45187</v>
      </c>
      <c r="C12" s="22" t="s">
        <v>96</v>
      </c>
      <c r="D12" s="14">
        <v>-450</v>
      </c>
      <c r="E12" t="s">
        <v>74</v>
      </c>
      <c r="F12" t="str">
        <f>VLOOKUP(Tabela2[[#This Row],[DESCRICAO]],Tabela1[#All],2,0)</f>
        <v>DESPESA</v>
      </c>
      <c r="G12" t="str">
        <f>VLOOKUP(Tabela2[[#This Row],[DESCRICAO]],Tabela1[#All],3,0)</f>
        <v>Serviço Financeiro</v>
      </c>
      <c r="H12">
        <f>YEAR(Tabela2[[#This Row],[DATA]])</f>
        <v>2023</v>
      </c>
      <c r="I12" t="str">
        <f>INT((MONTH(Tabela2[[#This Row],[DATA]])-1)/3)+1&amp;"° TRI"</f>
        <v>3° TRI</v>
      </c>
      <c r="J12" t="str">
        <f>TEXT(Tabela2[[#This Row],[DATA]],"mmm")</f>
        <v>Sep</v>
      </c>
    </row>
    <row r="13" spans="1:10" x14ac:dyDescent="0.25">
      <c r="A13" t="s">
        <v>94</v>
      </c>
      <c r="B13" s="1">
        <v>45187</v>
      </c>
      <c r="C13" s="22" t="s">
        <v>97</v>
      </c>
      <c r="D13" s="14">
        <v>-5</v>
      </c>
      <c r="E13" t="s">
        <v>83</v>
      </c>
      <c r="F13" t="str">
        <f>VLOOKUP(Tabela2[[#This Row],[DESCRICAO]],Tabela1[#All],2,0)</f>
        <v>DESPESA</v>
      </c>
      <c r="G13" t="str">
        <f>VLOOKUP(Tabela2[[#This Row],[DESCRICAO]],Tabela1[#All],3,0)</f>
        <v>Alimentação</v>
      </c>
      <c r="H13">
        <f>YEAR(Tabela2[[#This Row],[DATA]])</f>
        <v>2023</v>
      </c>
      <c r="I13" t="str">
        <f>INT((MONTH(Tabela2[[#This Row],[DATA]])-1)/3)+1&amp;"° TRI"</f>
        <v>3° TRI</v>
      </c>
      <c r="J13" t="str">
        <f>TEXT(Tabela2[[#This Row],[DATA]],"mmm")</f>
        <v>Sep</v>
      </c>
    </row>
    <row r="14" spans="1:10" x14ac:dyDescent="0.25">
      <c r="A14" t="s">
        <v>11</v>
      </c>
      <c r="B14" s="1">
        <v>45188</v>
      </c>
      <c r="C14" s="22" t="s">
        <v>48</v>
      </c>
      <c r="D14" s="14">
        <v>-60.6</v>
      </c>
      <c r="E14" t="s">
        <v>79</v>
      </c>
      <c r="F14" t="str">
        <f>VLOOKUP(Tabela2[[#This Row],[DESCRICAO]],Tabela1[#All],2,0)</f>
        <v>DESPESA</v>
      </c>
      <c r="G14" t="str">
        <f>VLOOKUP(Tabela2[[#This Row],[DESCRICAO]],Tabela1[#All],3,0)</f>
        <v>Serviço Financeiro</v>
      </c>
      <c r="H14">
        <f>YEAR(Tabela2[[#This Row],[DATA]])</f>
        <v>2023</v>
      </c>
      <c r="I14" t="str">
        <f>INT((MONTH(Tabela2[[#This Row],[DATA]])-1)/3)+1&amp;"° TRI"</f>
        <v>3° TRI</v>
      </c>
      <c r="J14" t="str">
        <f>TEXT(Tabela2[[#This Row],[DATA]],"mmm")</f>
        <v>Sep</v>
      </c>
    </row>
    <row r="15" spans="1:10" x14ac:dyDescent="0.25">
      <c r="A15" t="s">
        <v>11</v>
      </c>
      <c r="B15" s="1">
        <v>45191</v>
      </c>
      <c r="C15" s="22" t="s">
        <v>80</v>
      </c>
      <c r="D15" s="14">
        <v>-28.6</v>
      </c>
      <c r="E15" t="s">
        <v>68</v>
      </c>
      <c r="F15" t="str">
        <f>VLOOKUP(Tabela2[[#This Row],[DESCRICAO]],Tabela1[#All],2,0)</f>
        <v>DESPESA</v>
      </c>
      <c r="G15" t="str">
        <f>VLOOKUP(Tabela2[[#This Row],[DESCRICAO]],Tabela1[#All],3,0)</f>
        <v>Alimentação</v>
      </c>
      <c r="H15">
        <f>YEAR(Tabela2[[#This Row],[DATA]])</f>
        <v>2023</v>
      </c>
      <c r="I15" t="str">
        <f>INT((MONTH(Tabela2[[#This Row],[DATA]])-1)/3)+1&amp;"° TRI"</f>
        <v>3° TRI</v>
      </c>
      <c r="J15" t="str">
        <f>TEXT(Tabela2[[#This Row],[DATA]],"mmm")</f>
        <v>Sep</v>
      </c>
    </row>
    <row r="16" spans="1:10" x14ac:dyDescent="0.25">
      <c r="A16" t="s">
        <v>11</v>
      </c>
      <c r="B16" s="1">
        <v>45191</v>
      </c>
      <c r="C16" s="22" t="s">
        <v>75</v>
      </c>
      <c r="D16" s="14">
        <v>-2</v>
      </c>
      <c r="E16" t="s">
        <v>81</v>
      </c>
      <c r="F16" t="str">
        <f>VLOOKUP(Tabela2[[#This Row],[DESCRICAO]],Tabela1[#All],2,0)</f>
        <v>DESPESA</v>
      </c>
      <c r="G16" t="str">
        <f>VLOOKUP(Tabela2[[#This Row],[DESCRICAO]],Tabela1[#All],3,0)</f>
        <v>Outro</v>
      </c>
      <c r="H16">
        <f>YEAR(Tabela2[[#This Row],[DATA]])</f>
        <v>2023</v>
      </c>
      <c r="I16" t="str">
        <f>INT((MONTH(Tabela2[[#This Row],[DATA]])-1)/3)+1&amp;"° TRI"</f>
        <v>3° TRI</v>
      </c>
      <c r="J16" t="str">
        <f>TEXT(Tabela2[[#This Row],[DATA]],"mmm")</f>
        <v>Sep</v>
      </c>
    </row>
    <row r="17" spans="1:10" x14ac:dyDescent="0.25">
      <c r="A17" t="s">
        <v>11</v>
      </c>
      <c r="B17" s="1">
        <v>45191</v>
      </c>
      <c r="C17" s="22" t="s">
        <v>47</v>
      </c>
      <c r="D17" s="14">
        <v>-12</v>
      </c>
      <c r="E17" t="s">
        <v>83</v>
      </c>
      <c r="F17" t="str">
        <f>VLOOKUP(Tabela2[[#This Row],[DESCRICAO]],Tabela1[#All],2,0)</f>
        <v>DESPESA</v>
      </c>
      <c r="G17" t="str">
        <f>VLOOKUP(Tabela2[[#This Row],[DESCRICAO]],Tabela1[#All],3,0)</f>
        <v>Alimentação</v>
      </c>
      <c r="H17">
        <f>YEAR(Tabela2[[#This Row],[DATA]])</f>
        <v>2023</v>
      </c>
      <c r="I17" t="str">
        <f>INT((MONTH(Tabela2[[#This Row],[DATA]])-1)/3)+1&amp;"° TRI"</f>
        <v>3° TRI</v>
      </c>
      <c r="J17" t="str">
        <f>TEXT(Tabela2[[#This Row],[DATA]],"mmm")</f>
        <v>Sep</v>
      </c>
    </row>
    <row r="18" spans="1:10" x14ac:dyDescent="0.25">
      <c r="A18" t="s">
        <v>11</v>
      </c>
      <c r="B18" s="1">
        <v>45192</v>
      </c>
      <c r="C18" s="25" t="s">
        <v>84</v>
      </c>
      <c r="D18" s="14">
        <v>-20</v>
      </c>
      <c r="E18" t="s">
        <v>54</v>
      </c>
      <c r="F18" t="str">
        <f>VLOOKUP(Tabela2[[#This Row],[DESCRICAO]],Tabela1[#All],2,0)</f>
        <v>DESPESA</v>
      </c>
      <c r="G18" t="str">
        <f>VLOOKUP(Tabela2[[#This Row],[DESCRICAO]],Tabela1[#All],3,0)</f>
        <v>Pessoal</v>
      </c>
      <c r="H18">
        <f>YEAR(Tabela2[[#This Row],[DATA]])</f>
        <v>2023</v>
      </c>
      <c r="I18" t="str">
        <f>INT((MONTH(Tabela2[[#This Row],[DATA]])-1)/3)+1&amp;"° TRI"</f>
        <v>3° TRI</v>
      </c>
      <c r="J18" t="str">
        <f>TEXT(Tabela2[[#This Row],[DATA]],"mmm")</f>
        <v>Sep</v>
      </c>
    </row>
    <row r="19" spans="1:10" x14ac:dyDescent="0.25">
      <c r="A19" t="s">
        <v>11</v>
      </c>
      <c r="B19" s="1">
        <v>45192</v>
      </c>
      <c r="C19" s="22" t="s">
        <v>85</v>
      </c>
      <c r="D19" s="14">
        <v>-18</v>
      </c>
      <c r="E19" t="s">
        <v>83</v>
      </c>
      <c r="F19" t="str">
        <f>VLOOKUP(Tabela2[[#This Row],[DESCRICAO]],Tabela1[#All],2,0)</f>
        <v>DESPESA</v>
      </c>
      <c r="G19" t="str">
        <f>VLOOKUP(Tabela2[[#This Row],[DESCRICAO]],Tabela1[#All],3,0)</f>
        <v>Alimentação</v>
      </c>
      <c r="H19">
        <f>YEAR(Tabela2[[#This Row],[DATA]])</f>
        <v>2023</v>
      </c>
      <c r="I19" t="str">
        <f>INT((MONTH(Tabela2[[#This Row],[DATA]])-1)/3)+1&amp;"° TRI"</f>
        <v>3° TRI</v>
      </c>
      <c r="J19" t="str">
        <f>TEXT(Tabela2[[#This Row],[DATA]],"mmm")</f>
        <v>Sep</v>
      </c>
    </row>
    <row r="20" spans="1:10" x14ac:dyDescent="0.25">
      <c r="A20" t="s">
        <v>11</v>
      </c>
      <c r="B20" s="1">
        <v>45192</v>
      </c>
      <c r="C20" s="25" t="s">
        <v>86</v>
      </c>
      <c r="D20" s="14">
        <v>-33.6</v>
      </c>
      <c r="E20" t="s">
        <v>59</v>
      </c>
      <c r="F20" t="str">
        <f>VLOOKUP(Tabela2[[#This Row],[DESCRICAO]],Tabela1[#All],2,0)</f>
        <v>DESPESA</v>
      </c>
      <c r="G20" t="str">
        <f>VLOOKUP(Tabela2[[#This Row],[DESCRICAO]],Tabela1[#All],3,0)</f>
        <v>Lazer</v>
      </c>
      <c r="H20">
        <f>YEAR(Tabela2[[#This Row],[DATA]])</f>
        <v>2023</v>
      </c>
      <c r="I20" t="str">
        <f>INT((MONTH(Tabela2[[#This Row],[DATA]])-1)/3)+1&amp;"° TRI"</f>
        <v>3° TRI</v>
      </c>
      <c r="J20" t="str">
        <f>TEXT(Tabela2[[#This Row],[DATA]],"mmm")</f>
        <v>Sep</v>
      </c>
    </row>
    <row r="21" spans="1:10" x14ac:dyDescent="0.25">
      <c r="A21" t="s">
        <v>11</v>
      </c>
      <c r="B21" s="1">
        <v>45196</v>
      </c>
      <c r="C21" s="25" t="s">
        <v>98</v>
      </c>
      <c r="D21" s="14">
        <v>-34.729999999999997</v>
      </c>
      <c r="E21" t="s">
        <v>63</v>
      </c>
      <c r="F21" t="str">
        <f>VLOOKUP(Tabela2[[#This Row],[DESCRICAO]],Tabela1[#All],2,0)</f>
        <v>DESPESA</v>
      </c>
      <c r="G21" t="str">
        <f>VLOOKUP(Tabela2[[#This Row],[DESCRICAO]],Tabela1[#All],3,0)</f>
        <v>Transporte</v>
      </c>
      <c r="H21">
        <f>YEAR(Tabela2[[#This Row],[DATA]])</f>
        <v>2023</v>
      </c>
      <c r="I21" t="str">
        <f>INT((MONTH(Tabela2[[#This Row],[DATA]])-1)/3)+1&amp;"° TRI"</f>
        <v>3° TRI</v>
      </c>
      <c r="J21" t="str">
        <f>TEXT(Tabela2[[#This Row],[DATA]],"mmm")</f>
        <v>Sep</v>
      </c>
    </row>
    <row r="22" spans="1:10" x14ac:dyDescent="0.25">
      <c r="A22" t="s">
        <v>11</v>
      </c>
      <c r="B22" s="1">
        <v>45196</v>
      </c>
      <c r="C22" s="25" t="s">
        <v>99</v>
      </c>
      <c r="D22" s="14">
        <v>-20</v>
      </c>
      <c r="E22" t="s">
        <v>50</v>
      </c>
      <c r="F22" t="str">
        <f>VLOOKUP(Tabela2[[#This Row],[DESCRICAO]],Tabela1[#All],2,0)</f>
        <v>DESPESA</v>
      </c>
      <c r="G22" t="str">
        <f>VLOOKUP(Tabela2[[#This Row],[DESCRICAO]],Tabela1[#All],3,0)</f>
        <v>Pessoal</v>
      </c>
      <c r="H22">
        <f>YEAR(Tabela2[[#This Row],[DATA]])</f>
        <v>2023</v>
      </c>
      <c r="I22" t="str">
        <f>INT((MONTH(Tabela2[[#This Row],[DATA]])-1)/3)+1&amp;"° TRI"</f>
        <v>3° TRI</v>
      </c>
      <c r="J22" t="str">
        <f>TEXT(Tabela2[[#This Row],[DATA]],"mmm")</f>
        <v>Sep</v>
      </c>
    </row>
    <row r="23" spans="1:10" x14ac:dyDescent="0.25">
      <c r="A23" t="s">
        <v>11</v>
      </c>
      <c r="B23" s="1">
        <v>45196</v>
      </c>
      <c r="C23" s="22" t="s">
        <v>99</v>
      </c>
      <c r="D23" s="14">
        <v>-20</v>
      </c>
      <c r="E23" t="s">
        <v>50</v>
      </c>
      <c r="F23" t="str">
        <f>VLOOKUP(Tabela2[[#This Row],[DESCRICAO]],Tabela1[#All],2,0)</f>
        <v>DESPESA</v>
      </c>
      <c r="G23" t="str">
        <f>VLOOKUP(Tabela2[[#This Row],[DESCRICAO]],Tabela1[#All],3,0)</f>
        <v>Pessoal</v>
      </c>
      <c r="H23">
        <f>YEAR(Tabela2[[#This Row],[DATA]])</f>
        <v>2023</v>
      </c>
      <c r="I23" t="str">
        <f>INT((MONTH(Tabela2[[#This Row],[DATA]])-1)/3)+1&amp;"° TRI"</f>
        <v>3° TRI</v>
      </c>
      <c r="J23" t="str">
        <f>TEXT(Tabela2[[#This Row],[DATA]],"mmm")</f>
        <v>Sep</v>
      </c>
    </row>
    <row r="24" spans="1:10" x14ac:dyDescent="0.25">
      <c r="A24" t="s">
        <v>100</v>
      </c>
      <c r="B24" s="1">
        <v>45196</v>
      </c>
      <c r="C24" s="22" t="s">
        <v>75</v>
      </c>
      <c r="D24" s="14">
        <v>-6</v>
      </c>
      <c r="E24" t="s">
        <v>83</v>
      </c>
      <c r="F24" t="str">
        <f>VLOOKUP(Tabela2[[#This Row],[DESCRICAO]],Tabela1[#All],2,0)</f>
        <v>DESPESA</v>
      </c>
      <c r="G24" t="str">
        <f>VLOOKUP(Tabela2[[#This Row],[DESCRICAO]],Tabela1[#All],3,0)</f>
        <v>Alimentação</v>
      </c>
      <c r="H24">
        <f>YEAR(Tabela2[[#This Row],[DATA]])</f>
        <v>2023</v>
      </c>
      <c r="I24" t="str">
        <f>INT((MONTH(Tabela2[[#This Row],[DATA]])-1)/3)+1&amp;"° TRI"</f>
        <v>3° TRI</v>
      </c>
      <c r="J24" t="str">
        <f>TEXT(Tabela2[[#This Row],[DATA]],"mmm")</f>
        <v>Sep</v>
      </c>
    </row>
    <row r="25" spans="1:10" x14ac:dyDescent="0.25">
      <c r="A25" t="s">
        <v>11</v>
      </c>
      <c r="B25" s="1">
        <v>45197</v>
      </c>
      <c r="C25" s="22" t="s">
        <v>75</v>
      </c>
      <c r="D25" s="14">
        <v>-6</v>
      </c>
      <c r="E25" t="s">
        <v>83</v>
      </c>
      <c r="F25" t="str">
        <f>VLOOKUP(Tabela2[[#This Row],[DESCRICAO]],Tabela1[#All],2,0)</f>
        <v>DESPESA</v>
      </c>
      <c r="G25" t="str">
        <f>VLOOKUP(Tabela2[[#This Row],[DESCRICAO]],Tabela1[#All],3,0)</f>
        <v>Alimentação</v>
      </c>
      <c r="H25">
        <f>YEAR(Tabela2[[#This Row],[DATA]])</f>
        <v>2023</v>
      </c>
      <c r="I25" t="str">
        <f>INT((MONTH(Tabela2[[#This Row],[DATA]])-1)/3)+1&amp;"° TRI"</f>
        <v>3° TRI</v>
      </c>
      <c r="J25" t="str">
        <f>TEXT(Tabela2[[#This Row],[DATA]],"mmm")</f>
        <v>Sep</v>
      </c>
    </row>
    <row r="26" spans="1:10" x14ac:dyDescent="0.25">
      <c r="A26" t="s">
        <v>100</v>
      </c>
      <c r="B26" s="1">
        <v>45198</v>
      </c>
      <c r="C26" s="22" t="s">
        <v>75</v>
      </c>
      <c r="D26" s="14">
        <v>-6</v>
      </c>
      <c r="E26" t="s">
        <v>83</v>
      </c>
      <c r="F26" t="str">
        <f>VLOOKUP(Tabela2[[#This Row],[DESCRICAO]],Tabela1[#All],2,0)</f>
        <v>DESPESA</v>
      </c>
      <c r="G26" t="str">
        <f>VLOOKUP(Tabela2[[#This Row],[DESCRICAO]],Tabela1[#All],3,0)</f>
        <v>Alimentação</v>
      </c>
      <c r="H26">
        <f>YEAR(Tabela2[[#This Row],[DATA]])</f>
        <v>2023</v>
      </c>
      <c r="I26" t="str">
        <f>INT((MONTH(Tabela2[[#This Row],[DATA]])-1)/3)+1&amp;"° TRI"</f>
        <v>3° TRI</v>
      </c>
      <c r="J26" t="str">
        <f>TEXT(Tabela2[[#This Row],[DATA]],"mmm")</f>
        <v>Sep</v>
      </c>
    </row>
    <row r="27" spans="1:10" x14ac:dyDescent="0.25">
      <c r="A27" t="s">
        <v>11</v>
      </c>
      <c r="B27" s="1">
        <v>45198</v>
      </c>
      <c r="C27" s="22" t="s">
        <v>75</v>
      </c>
      <c r="D27" s="14">
        <v>-6</v>
      </c>
      <c r="E27" t="s">
        <v>83</v>
      </c>
      <c r="F27" t="str">
        <f>VLOOKUP(Tabela2[[#This Row],[DESCRICAO]],Tabela1[#All],2,0)</f>
        <v>DESPESA</v>
      </c>
      <c r="G27" t="str">
        <f>VLOOKUP(Tabela2[[#This Row],[DESCRICAO]],Tabela1[#All],3,0)</f>
        <v>Alimentação</v>
      </c>
      <c r="H27">
        <f>YEAR(Tabela2[[#This Row],[DATA]])</f>
        <v>2023</v>
      </c>
      <c r="I27" t="str">
        <f>INT((MONTH(Tabela2[[#This Row],[DATA]])-1)/3)+1&amp;"° TRI"</f>
        <v>3° TRI</v>
      </c>
      <c r="J27" t="str">
        <f>TEXT(Tabela2[[#This Row],[DATA]],"mmm")</f>
        <v>Sep</v>
      </c>
    </row>
    <row r="28" spans="1:10" x14ac:dyDescent="0.25">
      <c r="A28" t="s">
        <v>11</v>
      </c>
      <c r="B28" s="1">
        <v>45198</v>
      </c>
      <c r="C28" s="22" t="s">
        <v>75</v>
      </c>
      <c r="D28" s="14">
        <v>-6</v>
      </c>
      <c r="E28" t="s">
        <v>83</v>
      </c>
      <c r="F28" t="str">
        <f>VLOOKUP(Tabela2[[#This Row],[DESCRICAO]],Tabela1[#All],2,0)</f>
        <v>DESPESA</v>
      </c>
      <c r="G28" t="str">
        <f>VLOOKUP(Tabela2[[#This Row],[DESCRICAO]],Tabela1[#All],3,0)</f>
        <v>Alimentação</v>
      </c>
      <c r="H28">
        <f>YEAR(Tabela2[[#This Row],[DATA]])</f>
        <v>2023</v>
      </c>
      <c r="I28" t="str">
        <f>INT((MONTH(Tabela2[[#This Row],[DATA]])-1)/3)+1&amp;"° TRI"</f>
        <v>3° TRI</v>
      </c>
      <c r="J28" t="str">
        <f>TEXT(Tabela2[[#This Row],[DATA]],"mmm")</f>
        <v>Sep</v>
      </c>
    </row>
    <row r="29" spans="1:10" x14ac:dyDescent="0.25">
      <c r="A29" t="s">
        <v>11</v>
      </c>
      <c r="B29" s="1">
        <v>45201</v>
      </c>
      <c r="C29" s="22" t="s">
        <v>73</v>
      </c>
      <c r="D29" s="14">
        <v>-50</v>
      </c>
      <c r="E29" t="s">
        <v>74</v>
      </c>
      <c r="F29" t="str">
        <f>VLOOKUP(Tabela2[[#This Row],[DESCRICAO]],Tabela1[#All],2,0)</f>
        <v>DESPESA</v>
      </c>
      <c r="G29" t="str">
        <f>VLOOKUP(Tabela2[[#This Row],[DESCRICAO]],Tabela1[#All],3,0)</f>
        <v>Serviço Financeiro</v>
      </c>
      <c r="H29">
        <f>YEAR(Tabela2[[#This Row],[DATA]])</f>
        <v>2023</v>
      </c>
      <c r="I29" t="str">
        <f>INT((MONTH(Tabela2[[#This Row],[DATA]])-1)/3)+1&amp;"° TRI"</f>
        <v>4° TRI</v>
      </c>
      <c r="J29" t="str">
        <f>TEXT(Tabela2[[#This Row],[DATA]],"mmm")</f>
        <v>Oct</v>
      </c>
    </row>
    <row r="30" spans="1:10" x14ac:dyDescent="0.25">
      <c r="A30" t="s">
        <v>11</v>
      </c>
      <c r="B30" s="1">
        <v>45201</v>
      </c>
      <c r="C30" s="22" t="s">
        <v>103</v>
      </c>
      <c r="D30" s="14">
        <v>-40</v>
      </c>
      <c r="E30" t="s">
        <v>3</v>
      </c>
      <c r="F30" t="str">
        <f>VLOOKUP(Tabela2[[#This Row],[DESCRICAO]],Tabela1[#All],2,0)</f>
        <v>DESPESA</v>
      </c>
      <c r="G30" t="str">
        <f>VLOOKUP(Tabela2[[#This Row],[DESCRICAO]],Tabela1[#All],3,0)</f>
        <v>Transporte</v>
      </c>
      <c r="H30">
        <f>YEAR(Tabela2[[#This Row],[DATA]])</f>
        <v>2023</v>
      </c>
      <c r="I30" t="str">
        <f>INT((MONTH(Tabela2[[#This Row],[DATA]])-1)/3)+1&amp;"° TRI"</f>
        <v>4° TRI</v>
      </c>
      <c r="J30" t="str">
        <f>TEXT(Tabela2[[#This Row],[DATA]],"mmm")</f>
        <v>Oct</v>
      </c>
    </row>
    <row r="31" spans="1:10" x14ac:dyDescent="0.25">
      <c r="A31" t="s">
        <v>11</v>
      </c>
      <c r="B31" s="1">
        <v>45201</v>
      </c>
      <c r="C31" s="22" t="s">
        <v>75</v>
      </c>
      <c r="D31" s="14">
        <v>-7</v>
      </c>
      <c r="E31" t="s">
        <v>83</v>
      </c>
      <c r="F31" t="str">
        <f>VLOOKUP(Tabela2[[#This Row],[DESCRICAO]],Tabela1[#All],2,0)</f>
        <v>DESPESA</v>
      </c>
      <c r="G31" t="str">
        <f>VLOOKUP(Tabela2[[#This Row],[DESCRICAO]],Tabela1[#All],3,0)</f>
        <v>Alimentação</v>
      </c>
      <c r="H31">
        <f>YEAR(Tabela2[[#This Row],[DATA]])</f>
        <v>2023</v>
      </c>
      <c r="I31" t="str">
        <f>INT((MONTH(Tabela2[[#This Row],[DATA]])-1)/3)+1&amp;"° TRI"</f>
        <v>4° TRI</v>
      </c>
      <c r="J31" t="str">
        <f>TEXT(Tabela2[[#This Row],[DATA]],"mmm")</f>
        <v>Oct</v>
      </c>
    </row>
    <row r="32" spans="1:10" x14ac:dyDescent="0.25">
      <c r="A32" t="s">
        <v>11</v>
      </c>
      <c r="B32" s="1">
        <v>45201</v>
      </c>
      <c r="C32" s="22" t="s">
        <v>75</v>
      </c>
      <c r="D32" s="14">
        <v>-5</v>
      </c>
      <c r="E32" t="s">
        <v>83</v>
      </c>
      <c r="F32" t="str">
        <f>VLOOKUP(Tabela2[[#This Row],[DESCRICAO]],Tabela1[#All],2,0)</f>
        <v>DESPESA</v>
      </c>
      <c r="G32" t="str">
        <f>VLOOKUP(Tabela2[[#This Row],[DESCRICAO]],Tabela1[#All],3,0)</f>
        <v>Alimentação</v>
      </c>
      <c r="H32">
        <f>YEAR(Tabela2[[#This Row],[DATA]])</f>
        <v>2023</v>
      </c>
      <c r="I32" t="str">
        <f>INT((MONTH(Tabela2[[#This Row],[DATA]])-1)/3)+1&amp;"° TRI"</f>
        <v>4° TRI</v>
      </c>
      <c r="J32" t="str">
        <f>TEXT(Tabela2[[#This Row],[DATA]],"mmm")</f>
        <v>Oct</v>
      </c>
    </row>
    <row r="33" spans="1:10" x14ac:dyDescent="0.25">
      <c r="A33" t="s">
        <v>11</v>
      </c>
      <c r="B33" s="1">
        <v>45204</v>
      </c>
      <c r="C33" s="23" t="s">
        <v>51</v>
      </c>
      <c r="D33" s="14">
        <v>1246.94</v>
      </c>
      <c r="E33" t="s">
        <v>12</v>
      </c>
      <c r="F33" t="str">
        <f>VLOOKUP(Tabela2[[#This Row],[DESCRICAO]],Tabela1[#All],2,0)</f>
        <v>RECEITA</v>
      </c>
      <c r="G33">
        <f>VLOOKUP(Tabela2[[#This Row],[DESCRICAO]],Tabela1[#All],3,0)</f>
        <v>0</v>
      </c>
      <c r="H33">
        <f>YEAR(Tabela2[[#This Row],[DATA]])</f>
        <v>2023</v>
      </c>
      <c r="I33" t="str">
        <f>INT((MONTH(Tabela2[[#This Row],[DATA]])-1)/3)+1&amp;"° TRI"</f>
        <v>4° TRI</v>
      </c>
      <c r="J33" t="str">
        <f>TEXT(Tabela2[[#This Row],[DATA]],"mmm")</f>
        <v>Oct</v>
      </c>
    </row>
    <row r="34" spans="1:10" x14ac:dyDescent="0.25">
      <c r="A34" t="s">
        <v>11</v>
      </c>
      <c r="B34" s="1">
        <v>45204</v>
      </c>
      <c r="C34" s="22" t="s">
        <v>48</v>
      </c>
      <c r="D34" s="14">
        <v>-334.9</v>
      </c>
      <c r="E34" t="s">
        <v>79</v>
      </c>
      <c r="F34" t="str">
        <f>VLOOKUP(Tabela2[[#This Row],[DESCRICAO]],Tabela1[#All],2,0)</f>
        <v>DESPESA</v>
      </c>
      <c r="G34" t="str">
        <f>VLOOKUP(Tabela2[[#This Row],[DESCRICAO]],Tabela1[#All],3,0)</f>
        <v>Serviço Financeiro</v>
      </c>
      <c r="H34">
        <f>YEAR(Tabela2[[#This Row],[DATA]])</f>
        <v>2023</v>
      </c>
      <c r="I34" t="str">
        <f>INT((MONTH(Tabela2[[#This Row],[DATA]])-1)/3)+1&amp;"° TRI"</f>
        <v>4° TRI</v>
      </c>
      <c r="J34" t="str">
        <f>TEXT(Tabela2[[#This Row],[DATA]],"mmm")</f>
        <v>Oct</v>
      </c>
    </row>
    <row r="35" spans="1:10" x14ac:dyDescent="0.25">
      <c r="A35" t="s">
        <v>11</v>
      </c>
      <c r="B35" s="1">
        <v>45204</v>
      </c>
      <c r="C35" s="9" t="s">
        <v>105</v>
      </c>
      <c r="D35" s="14">
        <v>20</v>
      </c>
      <c r="E35" t="s">
        <v>95</v>
      </c>
      <c r="F35" t="str">
        <f>VLOOKUP(Tabela2[[#This Row],[DESCRICAO]],Tabela1[#All],2,0)</f>
        <v>RECEITA</v>
      </c>
      <c r="G35" t="str">
        <f>VLOOKUP(Tabela2[[#This Row],[DESCRICAO]],Tabela1[#All],3,0)</f>
        <v>Pessoal</v>
      </c>
      <c r="H35">
        <f>YEAR(Tabela2[[#This Row],[DATA]])</f>
        <v>2023</v>
      </c>
      <c r="I35" t="str">
        <f>INT((MONTH(Tabela2[[#This Row],[DATA]])-1)/3)+1&amp;"° TRI"</f>
        <v>4° TRI</v>
      </c>
      <c r="J35" t="str">
        <f>TEXT(Tabela2[[#This Row],[DATA]],"mmm")</f>
        <v>Oct</v>
      </c>
    </row>
    <row r="36" spans="1:10" x14ac:dyDescent="0.25">
      <c r="A36" t="s">
        <v>11</v>
      </c>
      <c r="B36" s="1">
        <v>45204</v>
      </c>
      <c r="C36" s="9" t="s">
        <v>104</v>
      </c>
      <c r="D36" s="14">
        <v>-100</v>
      </c>
      <c r="E36" t="s">
        <v>71</v>
      </c>
      <c r="F36" t="str">
        <f>VLOOKUP(Tabela2[[#This Row],[DESCRICAO]],Tabela1[#All],2,0)</f>
        <v>DESPESA</v>
      </c>
      <c r="G36" t="str">
        <f>VLOOKUP(Tabela2[[#This Row],[DESCRICAO]],Tabela1[#All],3,0)</f>
        <v>Pessoal</v>
      </c>
      <c r="H36">
        <f>YEAR(Tabela2[[#This Row],[DATA]])</f>
        <v>2023</v>
      </c>
      <c r="I36" t="str">
        <f>INT((MONTH(Tabela2[[#This Row],[DATA]])-1)/3)+1&amp;"° TRI"</f>
        <v>4° TRI</v>
      </c>
      <c r="J36" t="str">
        <f>TEXT(Tabela2[[#This Row],[DATA]],"mmm")</f>
        <v>Oct</v>
      </c>
    </row>
    <row r="37" spans="1:10" x14ac:dyDescent="0.25">
      <c r="A37" t="s">
        <v>11</v>
      </c>
      <c r="B37" s="1">
        <v>45208</v>
      </c>
      <c r="C37" s="25" t="s">
        <v>106</v>
      </c>
      <c r="D37" s="14">
        <v>-22.5</v>
      </c>
      <c r="E37" t="s">
        <v>108</v>
      </c>
      <c r="F37" t="str">
        <f>VLOOKUP(Tabela2[[#This Row],[DESCRICAO]],Tabela1[#All],2,0)</f>
        <v>DESPESA</v>
      </c>
      <c r="G37" t="str">
        <f>VLOOKUP(Tabela2[[#This Row],[DESCRICAO]],Tabela1[#All],3,0)</f>
        <v>Papelaria</v>
      </c>
      <c r="H37">
        <f>YEAR(Tabela2[[#This Row],[DATA]])</f>
        <v>2023</v>
      </c>
      <c r="I37" t="str">
        <f>INT((MONTH(Tabela2[[#This Row],[DATA]])-1)/3)+1&amp;"° TRI"</f>
        <v>4° TRI</v>
      </c>
      <c r="J37" t="str">
        <f>TEXT(Tabela2[[#This Row],[DATA]],"mmm")</f>
        <v>Oct</v>
      </c>
    </row>
    <row r="38" spans="1:10" x14ac:dyDescent="0.25">
      <c r="A38" t="s">
        <v>11</v>
      </c>
      <c r="B38" s="1">
        <v>45210</v>
      </c>
      <c r="C38" s="25" t="s">
        <v>109</v>
      </c>
      <c r="D38" s="14">
        <v>-707.7</v>
      </c>
      <c r="E38" t="s">
        <v>13</v>
      </c>
      <c r="F38" t="str">
        <f>VLOOKUP(Tabela2[[#This Row],[DESCRICAO]],Tabela1[#All],2,0)</f>
        <v>DESPESA</v>
      </c>
      <c r="G38" t="str">
        <f>VLOOKUP(Tabela2[[#This Row],[DESCRICAO]],Tabela1[#All],3,0)</f>
        <v>Serviço Financeiro</v>
      </c>
      <c r="H38">
        <f>YEAR(Tabela2[[#This Row],[DATA]])</f>
        <v>2023</v>
      </c>
      <c r="I38" t="str">
        <f>INT((MONTH(Tabela2[[#This Row],[DATA]])-1)/3)+1&amp;"° TRI"</f>
        <v>4° TRI</v>
      </c>
      <c r="J38" t="str">
        <f>TEXT(Tabela2[[#This Row],[DATA]],"mmm")</f>
        <v>Oct</v>
      </c>
    </row>
    <row r="39" spans="1:10" x14ac:dyDescent="0.25">
      <c r="A39" t="s">
        <v>11</v>
      </c>
      <c r="B39" s="1">
        <v>45210</v>
      </c>
      <c r="C39" s="25" t="s">
        <v>110</v>
      </c>
      <c r="D39" s="14">
        <v>800</v>
      </c>
      <c r="E39" t="s">
        <v>78</v>
      </c>
      <c r="F39" t="str">
        <f>VLOOKUP(Tabela2[[#This Row],[DESCRICAO]],Tabela1[#All],2,0)</f>
        <v>RECEITA</v>
      </c>
      <c r="G39">
        <f>VLOOKUP(Tabela2[[#This Row],[DESCRICAO]],Tabela1[#All],3,0)</f>
        <v>0</v>
      </c>
      <c r="H39">
        <f>YEAR(Tabela2[[#This Row],[DATA]])</f>
        <v>2023</v>
      </c>
      <c r="I39" t="str">
        <f>INT((MONTH(Tabela2[[#This Row],[DATA]])-1)/3)+1&amp;"° TRI"</f>
        <v>4° TRI</v>
      </c>
      <c r="J39" t="str">
        <f>TEXT(Tabela2[[#This Row],[DATA]],"mmm")</f>
        <v>Oct</v>
      </c>
    </row>
    <row r="40" spans="1:10" x14ac:dyDescent="0.25">
      <c r="A40" t="s">
        <v>11</v>
      </c>
      <c r="B40" s="1">
        <v>45212</v>
      </c>
      <c r="C40" s="9" t="s">
        <v>111</v>
      </c>
      <c r="D40" s="14">
        <v>-1802.17</v>
      </c>
      <c r="E40" t="s">
        <v>50</v>
      </c>
      <c r="F40" t="str">
        <f>VLOOKUP(Tabela2[[#This Row],[DESCRICAO]],Tabela1[#All],2,0)</f>
        <v>DESPESA</v>
      </c>
      <c r="G40" t="str">
        <f>VLOOKUP(Tabela2[[#This Row],[DESCRICAO]],Tabela1[#All],3,0)</f>
        <v>Pessoal</v>
      </c>
      <c r="H40">
        <f>YEAR(Tabela2[[#This Row],[DATA]])</f>
        <v>2023</v>
      </c>
      <c r="I40" t="str">
        <f>INT((MONTH(Tabela2[[#This Row],[DATA]])-1)/3)+1&amp;"° TRI"</f>
        <v>4° TRI</v>
      </c>
      <c r="J40" t="str">
        <f>TEXT(Tabela2[[#This Row],[DATA]],"mmm")</f>
        <v>Oct</v>
      </c>
    </row>
    <row r="41" spans="1:10" x14ac:dyDescent="0.25">
      <c r="A41" t="s">
        <v>11</v>
      </c>
      <c r="B41" s="1">
        <v>45212</v>
      </c>
      <c r="C41" s="9" t="s">
        <v>112</v>
      </c>
      <c r="D41" s="14">
        <v>-20</v>
      </c>
      <c r="E41" t="s">
        <v>83</v>
      </c>
      <c r="F41" t="str">
        <f>VLOOKUP(Tabela2[[#This Row],[DESCRICAO]],Tabela1[#All],2,0)</f>
        <v>DESPESA</v>
      </c>
      <c r="G41" t="str">
        <f>VLOOKUP(Tabela2[[#This Row],[DESCRICAO]],Tabela1[#All],3,0)</f>
        <v>Alimentação</v>
      </c>
      <c r="H41">
        <f>YEAR(Tabela2[[#This Row],[DATA]])</f>
        <v>2023</v>
      </c>
      <c r="I41" t="str">
        <f>INT((MONTH(Tabela2[[#This Row],[DATA]])-1)/3)+1&amp;"° TRI"</f>
        <v>4° TRI</v>
      </c>
      <c r="J41" t="str">
        <f>TEXT(Tabela2[[#This Row],[DATA]],"mmm")</f>
        <v>Oct</v>
      </c>
    </row>
    <row r="42" spans="1:10" x14ac:dyDescent="0.25">
      <c r="A42" t="s">
        <v>11</v>
      </c>
      <c r="B42" s="1">
        <v>45215</v>
      </c>
      <c r="C42" s="25" t="s">
        <v>113</v>
      </c>
      <c r="D42" s="14">
        <v>7</v>
      </c>
      <c r="E42" t="s">
        <v>78</v>
      </c>
      <c r="F42" t="str">
        <f>VLOOKUP(Tabela2[[#This Row],[DESCRICAO]],Tabela1[#All],2,0)</f>
        <v>RECEITA</v>
      </c>
      <c r="G42">
        <f>VLOOKUP(Tabela2[[#This Row],[DESCRICAO]],Tabela1[#All],3,0)</f>
        <v>0</v>
      </c>
      <c r="H42">
        <f>YEAR(Tabela2[[#This Row],[DATA]])</f>
        <v>2023</v>
      </c>
      <c r="I42" t="str">
        <f>INT((MONTH(Tabela2[[#This Row],[DATA]])-1)/3)+1&amp;"° TRI"</f>
        <v>4° TRI</v>
      </c>
      <c r="J42" t="str">
        <f>TEXT(Tabela2[[#This Row],[DATA]],"mmm")</f>
        <v>Oct</v>
      </c>
    </row>
    <row r="43" spans="1:10" x14ac:dyDescent="0.25">
      <c r="A43" t="s">
        <v>11</v>
      </c>
      <c r="B43" s="1">
        <v>45215</v>
      </c>
      <c r="C43" s="9" t="s">
        <v>103</v>
      </c>
      <c r="D43" s="14">
        <v>-40</v>
      </c>
      <c r="E43" t="s">
        <v>3</v>
      </c>
      <c r="F43" t="str">
        <f>VLOOKUP(Tabela2[[#This Row],[DESCRICAO]],Tabela1[#All],2,0)</f>
        <v>DESPESA</v>
      </c>
      <c r="G43" t="str">
        <f>VLOOKUP(Tabela2[[#This Row],[DESCRICAO]],Tabela1[#All],3,0)</f>
        <v>Transporte</v>
      </c>
      <c r="H43">
        <f>YEAR(Tabela2[[#This Row],[DATA]])</f>
        <v>2023</v>
      </c>
      <c r="I43" t="str">
        <f>INT((MONTH(Tabela2[[#This Row],[DATA]])-1)/3)+1&amp;"° TRI"</f>
        <v>4° TRI</v>
      </c>
      <c r="J43" t="str">
        <f>TEXT(Tabela2[[#This Row],[DATA]],"mmm")</f>
        <v>Oct</v>
      </c>
    </row>
    <row r="44" spans="1:10" x14ac:dyDescent="0.25">
      <c r="A44" t="s">
        <v>11</v>
      </c>
      <c r="B44" s="1">
        <v>45212</v>
      </c>
      <c r="C44" s="25" t="s">
        <v>114</v>
      </c>
      <c r="D44" s="14">
        <v>1.49</v>
      </c>
      <c r="E44" t="s">
        <v>78</v>
      </c>
      <c r="F44" t="str">
        <f>VLOOKUP(Tabela2[[#This Row],[DESCRICAO]],Tabela1[#All],2,0)</f>
        <v>RECEITA</v>
      </c>
      <c r="G44">
        <f>VLOOKUP(Tabela2[[#This Row],[DESCRICAO]],Tabela1[#All],3,0)</f>
        <v>0</v>
      </c>
      <c r="H44">
        <f>YEAR(Tabela2[[#This Row],[DATA]])</f>
        <v>2023</v>
      </c>
      <c r="I44" t="str">
        <f>INT((MONTH(Tabela2[[#This Row],[DATA]])-1)/3)+1&amp;"° TRI"</f>
        <v>4° TRI</v>
      </c>
      <c r="J44" t="str">
        <f>TEXT(Tabela2[[#This Row],[DATA]],"mmm")</f>
        <v>Oct</v>
      </c>
    </row>
    <row r="45" spans="1:10" x14ac:dyDescent="0.25">
      <c r="A45" t="s">
        <v>11</v>
      </c>
      <c r="B45" s="1">
        <v>45217</v>
      </c>
      <c r="C45" s="9" t="s">
        <v>116</v>
      </c>
      <c r="D45" s="14">
        <v>-5</v>
      </c>
      <c r="E45" t="s">
        <v>83</v>
      </c>
      <c r="F45" t="str">
        <f>VLOOKUP(Tabela2[[#This Row],[DESCRICAO]],Tabela1[#All],2,0)</f>
        <v>DESPESA</v>
      </c>
      <c r="G45" t="str">
        <f>VLOOKUP(Tabela2[[#This Row],[DESCRICAO]],Tabela1[#All],3,0)</f>
        <v>Alimentação</v>
      </c>
      <c r="H45">
        <f>YEAR(Tabela2[[#This Row],[DATA]])</f>
        <v>2023</v>
      </c>
      <c r="I45" t="str">
        <f>INT((MONTH(Tabela2[[#This Row],[DATA]])-1)/3)+1&amp;"° TRI"</f>
        <v>4° TRI</v>
      </c>
      <c r="J45" t="str">
        <f>TEXT(Tabela2[[#This Row],[DATA]],"mmm")</f>
        <v>Oct</v>
      </c>
    </row>
    <row r="46" spans="1:10" x14ac:dyDescent="0.25">
      <c r="A46" t="s">
        <v>11</v>
      </c>
      <c r="B46" s="1">
        <v>45217</v>
      </c>
      <c r="C46" s="9" t="s">
        <v>115</v>
      </c>
      <c r="D46" s="14">
        <v>-30</v>
      </c>
      <c r="E46" t="s">
        <v>108</v>
      </c>
      <c r="F46" t="str">
        <f>VLOOKUP(Tabela2[[#This Row],[DESCRICAO]],Tabela1[#All],2,0)</f>
        <v>DESPESA</v>
      </c>
      <c r="G46" t="str">
        <f>VLOOKUP(Tabela2[[#This Row],[DESCRICAO]],Tabela1[#All],3,0)</f>
        <v>Papelaria</v>
      </c>
      <c r="H46">
        <f>YEAR(Tabela2[[#This Row],[DATA]])</f>
        <v>2023</v>
      </c>
      <c r="I46" t="str">
        <f>INT((MONTH(Tabela2[[#This Row],[DATA]])-1)/3)+1&amp;"° TRI"</f>
        <v>4° TRI</v>
      </c>
      <c r="J46" t="str">
        <f>TEXT(Tabela2[[#This Row],[DATA]],"mmm")</f>
        <v>Oct</v>
      </c>
    </row>
    <row r="47" spans="1:10" x14ac:dyDescent="0.25">
      <c r="A47" t="s">
        <v>11</v>
      </c>
      <c r="B47" s="1">
        <v>45217</v>
      </c>
      <c r="C47" t="s">
        <v>120</v>
      </c>
      <c r="D47" s="14">
        <v>-112.45</v>
      </c>
      <c r="E47" t="s">
        <v>62</v>
      </c>
      <c r="F47" t="str">
        <f>VLOOKUP(Tabela2[[#This Row],[DESCRICAO]],Tabela1[#All],2,0)</f>
        <v>DESPESA</v>
      </c>
      <c r="G47" t="str">
        <f>VLOOKUP(Tabela2[[#This Row],[DESCRICAO]],Tabela1[#All],3,0)</f>
        <v>Transporte</v>
      </c>
      <c r="H47">
        <f>YEAR(Tabela2[[#This Row],[DATA]])</f>
        <v>2023</v>
      </c>
      <c r="I47" t="str">
        <f>INT((MONTH(Tabela2[[#This Row],[DATA]])-1)/3)+1&amp;"° TRI"</f>
        <v>4° TRI</v>
      </c>
      <c r="J47" t="str">
        <f>TEXT(Tabela2[[#This Row],[DATA]],"mmm")</f>
        <v>Oct</v>
      </c>
    </row>
    <row r="48" spans="1:10" x14ac:dyDescent="0.25">
      <c r="A48" t="s">
        <v>11</v>
      </c>
      <c r="B48" s="1">
        <v>45217</v>
      </c>
      <c r="C48" t="s">
        <v>120</v>
      </c>
      <c r="D48" s="14">
        <v>-38.64</v>
      </c>
      <c r="E48" t="s">
        <v>62</v>
      </c>
      <c r="F48" t="str">
        <f>VLOOKUP(Tabela2[[#This Row],[DESCRICAO]],Tabela1[#All],2,0)</f>
        <v>DESPESA</v>
      </c>
      <c r="G48" t="str">
        <f>VLOOKUP(Tabela2[[#This Row],[DESCRICAO]],Tabela1[#All],3,0)</f>
        <v>Transporte</v>
      </c>
      <c r="H48">
        <f>YEAR(Tabela2[[#This Row],[DATA]])</f>
        <v>2023</v>
      </c>
      <c r="I48" t="str">
        <f>INT((MONTH(Tabela2[[#This Row],[DATA]])-1)/3)+1&amp;"° TRI"</f>
        <v>4° TRI</v>
      </c>
      <c r="J48" t="str">
        <f>TEXT(Tabela2[[#This Row],[DATA]],"mmm")</f>
        <v>Oct</v>
      </c>
    </row>
    <row r="49" spans="1:10" x14ac:dyDescent="0.25">
      <c r="A49" t="s">
        <v>11</v>
      </c>
      <c r="B49" s="1">
        <v>45218</v>
      </c>
      <c r="C49" t="s">
        <v>121</v>
      </c>
      <c r="D49" s="14">
        <v>-6</v>
      </c>
      <c r="E49" t="s">
        <v>83</v>
      </c>
      <c r="F49" t="str">
        <f>VLOOKUP(Tabela2[[#This Row],[DESCRICAO]],Tabela1[#All],2,0)</f>
        <v>DESPESA</v>
      </c>
      <c r="G49" t="str">
        <f>VLOOKUP(Tabela2[[#This Row],[DESCRICAO]],Tabela1[#All],3,0)</f>
        <v>Alimentação</v>
      </c>
      <c r="H49">
        <f>YEAR(Tabela2[[#This Row],[DATA]])</f>
        <v>2023</v>
      </c>
      <c r="I49" t="str">
        <f>INT((MONTH(Tabela2[[#This Row],[DATA]])-1)/3)+1&amp;"° TRI"</f>
        <v>4° TRI</v>
      </c>
      <c r="J49" t="str">
        <f>TEXT(Tabela2[[#This Row],[DATA]],"mmm")</f>
        <v>Oct</v>
      </c>
    </row>
    <row r="50" spans="1:10" x14ac:dyDescent="0.25">
      <c r="A50" t="s">
        <v>11</v>
      </c>
      <c r="B50" s="1">
        <v>45219</v>
      </c>
      <c r="C50" t="s">
        <v>121</v>
      </c>
      <c r="D50" s="14">
        <v>-11.5</v>
      </c>
      <c r="E50" t="s">
        <v>83</v>
      </c>
      <c r="F50" t="str">
        <f>VLOOKUP(Tabela2[[#This Row],[DESCRICAO]],Tabela1[#All],2,0)</f>
        <v>DESPESA</v>
      </c>
      <c r="G50" t="str">
        <f>VLOOKUP(Tabela2[[#This Row],[DESCRICAO]],Tabela1[#All],3,0)</f>
        <v>Alimentação</v>
      </c>
      <c r="H50">
        <f>YEAR(Tabela2[[#This Row],[DATA]])</f>
        <v>2023</v>
      </c>
      <c r="I50" t="str">
        <f>INT((MONTH(Tabela2[[#This Row],[DATA]])-1)/3)+1&amp;"° TRI"</f>
        <v>4° TRI</v>
      </c>
      <c r="J50" t="str">
        <f>TEXT(Tabela2[[#This Row],[DATA]],"mmm")</f>
        <v>Oct</v>
      </c>
    </row>
    <row r="51" spans="1:10" x14ac:dyDescent="0.25">
      <c r="A51" t="s">
        <v>11</v>
      </c>
      <c r="B51" s="1">
        <v>45222</v>
      </c>
      <c r="C51" t="s">
        <v>73</v>
      </c>
      <c r="D51" s="14">
        <v>-50</v>
      </c>
      <c r="E51" t="s">
        <v>74</v>
      </c>
      <c r="F51" t="str">
        <f>VLOOKUP(Tabela2[[#This Row],[DESCRICAO]],Tabela1[#All],2,0)</f>
        <v>DESPESA</v>
      </c>
      <c r="G51" t="str">
        <f>VLOOKUP(Tabela2[[#This Row],[DESCRICAO]],Tabela1[#All],3,0)</f>
        <v>Serviço Financeiro</v>
      </c>
      <c r="H51">
        <f>YEAR(Tabela2[[#This Row],[DATA]])</f>
        <v>2023</v>
      </c>
      <c r="I51" t="str">
        <f>INT((MONTH(Tabela2[[#This Row],[DATA]])-1)/3)+1&amp;"° TRI"</f>
        <v>4° TRI</v>
      </c>
      <c r="J51" t="str">
        <f>TEXT(Tabela2[[#This Row],[DATA]],"mmm")</f>
        <v>Oct</v>
      </c>
    </row>
    <row r="52" spans="1:10" x14ac:dyDescent="0.25">
      <c r="A52" t="s">
        <v>11</v>
      </c>
      <c r="B52" s="1">
        <v>45222</v>
      </c>
      <c r="C52" t="s">
        <v>122</v>
      </c>
      <c r="D52" s="14">
        <v>-108.56</v>
      </c>
      <c r="E52" t="s">
        <v>72</v>
      </c>
      <c r="F52" t="str">
        <f>VLOOKUP(Tabela2[[#This Row],[DESCRICAO]],Tabela1[#All],2,0)</f>
        <v>DESPESA</v>
      </c>
      <c r="G52" t="str">
        <f>VLOOKUP(Tabela2[[#This Row],[DESCRICAO]],Tabela1[#All],3,0)</f>
        <v>Pessoal</v>
      </c>
      <c r="H52">
        <f>YEAR(Tabela2[[#This Row],[DATA]])</f>
        <v>2023</v>
      </c>
      <c r="I52" t="str">
        <f>INT((MONTH(Tabela2[[#This Row],[DATA]])-1)/3)+1&amp;"° TRI"</f>
        <v>4° TRI</v>
      </c>
      <c r="J52" t="str">
        <f>TEXT(Tabela2[[#This Row],[DATA]],"mmm")</f>
        <v>Oct</v>
      </c>
    </row>
    <row r="53" spans="1:10" x14ac:dyDescent="0.25">
      <c r="A53" t="s">
        <v>11</v>
      </c>
      <c r="B53" s="1">
        <v>45222</v>
      </c>
      <c r="C53" t="s">
        <v>123</v>
      </c>
      <c r="D53" s="14">
        <v>-6</v>
      </c>
      <c r="E53" t="s">
        <v>83</v>
      </c>
      <c r="F53" t="str">
        <f>VLOOKUP(Tabela2[[#This Row],[DESCRICAO]],Tabela1[#All],2,0)</f>
        <v>DESPESA</v>
      </c>
      <c r="G53" t="str">
        <f>VLOOKUP(Tabela2[[#This Row],[DESCRICAO]],Tabela1[#All],3,0)</f>
        <v>Alimentação</v>
      </c>
      <c r="H53">
        <f>YEAR(Tabela2[[#This Row],[DATA]])</f>
        <v>2023</v>
      </c>
      <c r="I53" t="str">
        <f>INT((MONTH(Tabela2[[#This Row],[DATA]])-1)/3)+1&amp;"° TRI"</f>
        <v>4° TRI</v>
      </c>
      <c r="J53" t="str">
        <f>TEXT(Tabela2[[#This Row],[DATA]],"mmm")</f>
        <v>Oct</v>
      </c>
    </row>
    <row r="54" spans="1:10" x14ac:dyDescent="0.25">
      <c r="A54" t="s">
        <v>11</v>
      </c>
      <c r="B54" s="1">
        <v>45222</v>
      </c>
      <c r="C54" t="s">
        <v>124</v>
      </c>
      <c r="D54" s="14">
        <v>-24.3</v>
      </c>
      <c r="E54" t="s">
        <v>72</v>
      </c>
      <c r="F54" t="str">
        <f>VLOOKUP(Tabela2[[#This Row],[DESCRICAO]],Tabela1[#All],2,0)</f>
        <v>DESPESA</v>
      </c>
      <c r="G54" t="str">
        <f>VLOOKUP(Tabela2[[#This Row],[DESCRICAO]],Tabela1[#All],3,0)</f>
        <v>Pessoal</v>
      </c>
      <c r="H54">
        <f>YEAR(Tabela2[[#This Row],[DATA]])</f>
        <v>2023</v>
      </c>
      <c r="I54" t="str">
        <f>INT((MONTH(Tabela2[[#This Row],[DATA]])-1)/3)+1&amp;"° TRI"</f>
        <v>4° TRI</v>
      </c>
      <c r="J54" t="str">
        <f>TEXT(Tabela2[[#This Row],[DATA]],"mmm")</f>
        <v>Oct</v>
      </c>
    </row>
    <row r="55" spans="1:10" x14ac:dyDescent="0.25">
      <c r="A55" t="s">
        <v>11</v>
      </c>
      <c r="B55" s="1">
        <v>45222</v>
      </c>
      <c r="C55" t="s">
        <v>125</v>
      </c>
      <c r="D55" s="14">
        <v>-30</v>
      </c>
      <c r="E55" t="s">
        <v>83</v>
      </c>
      <c r="F55" t="str">
        <f>VLOOKUP(Tabela2[[#This Row],[DESCRICAO]],Tabela1[#All],2,0)</f>
        <v>DESPESA</v>
      </c>
      <c r="G55" t="str">
        <f>VLOOKUP(Tabela2[[#This Row],[DESCRICAO]],Tabela1[#All],3,0)</f>
        <v>Alimentação</v>
      </c>
      <c r="H55">
        <f>YEAR(Tabela2[[#This Row],[DATA]])</f>
        <v>2023</v>
      </c>
      <c r="I55" t="str">
        <f>INT((MONTH(Tabela2[[#This Row],[DATA]])-1)/3)+1&amp;"° TRI"</f>
        <v>4° TRI</v>
      </c>
      <c r="J55" t="str">
        <f>TEXT(Tabela2[[#This Row],[DATA]],"mmm")</f>
        <v>Oct</v>
      </c>
    </row>
    <row r="56" spans="1:10" x14ac:dyDescent="0.25">
      <c r="A56" t="s">
        <v>11</v>
      </c>
      <c r="B56" s="1">
        <v>45222</v>
      </c>
      <c r="C56" t="s">
        <v>125</v>
      </c>
      <c r="D56" s="14">
        <v>-5</v>
      </c>
      <c r="E56" t="s">
        <v>83</v>
      </c>
      <c r="F56" t="str">
        <f>VLOOKUP(Tabela2[[#This Row],[DESCRICAO]],Tabela1[#All],2,0)</f>
        <v>DESPESA</v>
      </c>
      <c r="G56" t="str">
        <f>VLOOKUP(Tabela2[[#This Row],[DESCRICAO]],Tabela1[#All],3,0)</f>
        <v>Alimentação</v>
      </c>
      <c r="H56">
        <f>YEAR(Tabela2[[#This Row],[DATA]])</f>
        <v>2023</v>
      </c>
      <c r="I56" t="str">
        <f>INT((MONTH(Tabela2[[#This Row],[DATA]])-1)/3)+1&amp;"° TRI"</f>
        <v>4° TRI</v>
      </c>
      <c r="J56" t="str">
        <f>TEXT(Tabela2[[#This Row],[DATA]],"mmm")</f>
        <v>Oct</v>
      </c>
    </row>
    <row r="57" spans="1:10" x14ac:dyDescent="0.25">
      <c r="A57" t="s">
        <v>11</v>
      </c>
      <c r="B57" s="1">
        <v>45222</v>
      </c>
      <c r="C57" t="s">
        <v>125</v>
      </c>
      <c r="D57" s="14">
        <v>-15</v>
      </c>
      <c r="E57" t="s">
        <v>83</v>
      </c>
      <c r="F57" t="str">
        <f>VLOOKUP(Tabela2[[#This Row],[DESCRICAO]],Tabela1[#All],2,0)</f>
        <v>DESPESA</v>
      </c>
      <c r="G57" t="str">
        <f>VLOOKUP(Tabela2[[#This Row],[DESCRICAO]],Tabela1[#All],3,0)</f>
        <v>Alimentação</v>
      </c>
      <c r="H57">
        <f>YEAR(Tabela2[[#This Row],[DATA]])</f>
        <v>2023</v>
      </c>
      <c r="I57" t="str">
        <f>INT((MONTH(Tabela2[[#This Row],[DATA]])-1)/3)+1&amp;"° TRI"</f>
        <v>4° TRI</v>
      </c>
      <c r="J57" t="str">
        <f>TEXT(Tabela2[[#This Row],[DATA]],"mmm")</f>
        <v>Oct</v>
      </c>
    </row>
    <row r="58" spans="1:10" x14ac:dyDescent="0.25">
      <c r="A58" t="s">
        <v>11</v>
      </c>
      <c r="B58" s="1">
        <v>45222</v>
      </c>
      <c r="C58" t="s">
        <v>126</v>
      </c>
      <c r="D58" s="14">
        <v>-51.82</v>
      </c>
      <c r="E58" t="s">
        <v>68</v>
      </c>
      <c r="F58" t="str">
        <f>VLOOKUP(Tabela2[[#This Row],[DESCRICAO]],Tabela1[#All],2,0)</f>
        <v>DESPESA</v>
      </c>
      <c r="G58" t="str">
        <f>VLOOKUP(Tabela2[[#This Row],[DESCRICAO]],Tabela1[#All],3,0)</f>
        <v>Alimentação</v>
      </c>
      <c r="H58">
        <f>YEAR(Tabela2[[#This Row],[DATA]])</f>
        <v>2023</v>
      </c>
      <c r="I58" t="str">
        <f>INT((MONTH(Tabela2[[#This Row],[DATA]])-1)/3)+1&amp;"° TRI"</f>
        <v>4° TRI</v>
      </c>
      <c r="J58" t="str">
        <f>TEXT(Tabela2[[#This Row],[DATA]],"mmm")</f>
        <v>Oct</v>
      </c>
    </row>
    <row r="59" spans="1:10" x14ac:dyDescent="0.25">
      <c r="A59" t="s">
        <v>11</v>
      </c>
      <c r="B59" s="1">
        <v>45222</v>
      </c>
      <c r="C59" t="s">
        <v>127</v>
      </c>
      <c r="D59" s="14">
        <v>-213</v>
      </c>
      <c r="E59" t="s">
        <v>156</v>
      </c>
      <c r="F59" t="str">
        <f>VLOOKUP(Tabela2[[#This Row],[DESCRICAO]],Tabela1[#All],2,0)</f>
        <v>DESPESA</v>
      </c>
      <c r="G59" t="str">
        <f>VLOOKUP(Tabela2[[#This Row],[DESCRICAO]],Tabela1[#All],3,0)</f>
        <v>Pessoal</v>
      </c>
      <c r="H59">
        <f>YEAR(Tabela2[[#This Row],[DATA]])</f>
        <v>2023</v>
      </c>
      <c r="I59" t="str">
        <f>INT((MONTH(Tabela2[[#This Row],[DATA]])-1)/3)+1&amp;"° TRI"</f>
        <v>4° TRI</v>
      </c>
      <c r="J59" t="str">
        <f>TEXT(Tabela2[[#This Row],[DATA]],"mmm")</f>
        <v>Oct</v>
      </c>
    </row>
    <row r="60" spans="1:10" x14ac:dyDescent="0.25">
      <c r="A60" t="s">
        <v>11</v>
      </c>
      <c r="B60" s="1">
        <v>45222</v>
      </c>
      <c r="C60" t="s">
        <v>128</v>
      </c>
      <c r="D60" s="14">
        <v>-29.79</v>
      </c>
      <c r="E60" t="s">
        <v>57</v>
      </c>
      <c r="F60" t="str">
        <f>VLOOKUP(Tabela2[[#This Row],[DESCRICAO]],Tabela1[#All],2,0)</f>
        <v>DESPESA</v>
      </c>
      <c r="G60" t="str">
        <f>VLOOKUP(Tabela2[[#This Row],[DESCRICAO]],Tabela1[#All],3,0)</f>
        <v>Saúde</v>
      </c>
      <c r="H60">
        <f>YEAR(Tabela2[[#This Row],[DATA]])</f>
        <v>2023</v>
      </c>
      <c r="I60" t="str">
        <f>INT((MONTH(Tabela2[[#This Row],[DATA]])-1)/3)+1&amp;"° TRI"</f>
        <v>4° TRI</v>
      </c>
      <c r="J60" t="str">
        <f>TEXT(Tabela2[[#This Row],[DATA]],"mmm")</f>
        <v>Oct</v>
      </c>
    </row>
    <row r="61" spans="1:10" x14ac:dyDescent="0.25">
      <c r="A61" t="s">
        <v>11</v>
      </c>
      <c r="B61" s="1">
        <v>45223</v>
      </c>
      <c r="C61" t="s">
        <v>129</v>
      </c>
      <c r="D61" s="14">
        <v>-17.3</v>
      </c>
      <c r="E61" t="s">
        <v>72</v>
      </c>
      <c r="F61" t="str">
        <f>VLOOKUP(Tabela2[[#This Row],[DESCRICAO]],Tabela1[#All],2,0)</f>
        <v>DESPESA</v>
      </c>
      <c r="G61" t="str">
        <f>VLOOKUP(Tabela2[[#This Row],[DESCRICAO]],Tabela1[#All],3,0)</f>
        <v>Pessoal</v>
      </c>
      <c r="H61">
        <f>YEAR(Tabela2[[#This Row],[DATA]])</f>
        <v>2023</v>
      </c>
      <c r="I61" t="str">
        <f>INT((MONTH(Tabela2[[#This Row],[DATA]])-1)/3)+1&amp;"° TRI"</f>
        <v>4° TRI</v>
      </c>
      <c r="J61" t="str">
        <f>TEXT(Tabela2[[#This Row],[DATA]],"mmm")</f>
        <v>Oct</v>
      </c>
    </row>
    <row r="62" spans="1:10" x14ac:dyDescent="0.25">
      <c r="A62" t="s">
        <v>11</v>
      </c>
      <c r="B62" s="1">
        <v>45223</v>
      </c>
      <c r="C62" t="s">
        <v>130</v>
      </c>
      <c r="D62" s="14">
        <v>-16.7</v>
      </c>
      <c r="E62" t="s">
        <v>72</v>
      </c>
      <c r="F62" t="str">
        <f>VLOOKUP(Tabela2[[#This Row],[DESCRICAO]],Tabela1[#All],2,0)</f>
        <v>DESPESA</v>
      </c>
      <c r="G62" t="str">
        <f>VLOOKUP(Tabela2[[#This Row],[DESCRICAO]],Tabela1[#All],3,0)</f>
        <v>Pessoal</v>
      </c>
      <c r="H62">
        <f>YEAR(Tabela2[[#This Row],[DATA]])</f>
        <v>2023</v>
      </c>
      <c r="I62" t="str">
        <f>INT((MONTH(Tabela2[[#This Row],[DATA]])-1)/3)+1&amp;"° TRI"</f>
        <v>4° TRI</v>
      </c>
      <c r="J62" t="str">
        <f>TEXT(Tabela2[[#This Row],[DATA]],"mmm")</f>
        <v>Oct</v>
      </c>
    </row>
    <row r="63" spans="1:10" x14ac:dyDescent="0.25">
      <c r="A63" t="s">
        <v>11</v>
      </c>
      <c r="B63" s="1">
        <v>45223</v>
      </c>
      <c r="C63" t="s">
        <v>131</v>
      </c>
      <c r="D63" s="14">
        <v>-12.75</v>
      </c>
      <c r="E63" t="s">
        <v>83</v>
      </c>
      <c r="F63" t="str">
        <f>VLOOKUP(Tabela2[[#This Row],[DESCRICAO]],Tabela1[#All],2,0)</f>
        <v>DESPESA</v>
      </c>
      <c r="G63" t="str">
        <f>VLOOKUP(Tabela2[[#This Row],[DESCRICAO]],Tabela1[#All],3,0)</f>
        <v>Alimentação</v>
      </c>
      <c r="H63">
        <f>YEAR(Tabela2[[#This Row],[DATA]])</f>
        <v>2023</v>
      </c>
      <c r="I63" t="str">
        <f>INT((MONTH(Tabela2[[#This Row],[DATA]])-1)/3)+1&amp;"° TRI"</f>
        <v>4° TRI</v>
      </c>
      <c r="J63" t="str">
        <f>TEXT(Tabela2[[#This Row],[DATA]],"mmm")</f>
        <v>Oct</v>
      </c>
    </row>
    <row r="64" spans="1:10" x14ac:dyDescent="0.25">
      <c r="A64" t="s">
        <v>11</v>
      </c>
      <c r="B64" s="1">
        <v>45223</v>
      </c>
      <c r="C64" t="s">
        <v>132</v>
      </c>
      <c r="D64" s="14">
        <v>-16</v>
      </c>
      <c r="E64" t="s">
        <v>83</v>
      </c>
      <c r="F64" t="str">
        <f>VLOOKUP(Tabela2[[#This Row],[DESCRICAO]],Tabela1[#All],2,0)</f>
        <v>DESPESA</v>
      </c>
      <c r="G64" t="str">
        <f>VLOOKUP(Tabela2[[#This Row],[DESCRICAO]],Tabela1[#All],3,0)</f>
        <v>Alimentação</v>
      </c>
      <c r="H64">
        <f>YEAR(Tabela2[[#This Row],[DATA]])</f>
        <v>2023</v>
      </c>
      <c r="I64" t="str">
        <f>INT((MONTH(Tabela2[[#This Row],[DATA]])-1)/3)+1&amp;"° TRI"</f>
        <v>4° TRI</v>
      </c>
      <c r="J64" t="str">
        <f>TEXT(Tabela2[[#This Row],[DATA]],"mmm")</f>
        <v>Oct</v>
      </c>
    </row>
    <row r="65" spans="1:10" x14ac:dyDescent="0.25">
      <c r="A65" t="s">
        <v>11</v>
      </c>
      <c r="B65" s="1">
        <v>45223</v>
      </c>
      <c r="C65" t="s">
        <v>133</v>
      </c>
      <c r="D65" s="14">
        <v>-69.5</v>
      </c>
      <c r="E65" t="s">
        <v>83</v>
      </c>
      <c r="F65" t="str">
        <f>VLOOKUP(Tabela2[[#This Row],[DESCRICAO]],Tabela1[#All],2,0)</f>
        <v>DESPESA</v>
      </c>
      <c r="G65" t="str">
        <f>VLOOKUP(Tabela2[[#This Row],[DESCRICAO]],Tabela1[#All],3,0)</f>
        <v>Alimentação</v>
      </c>
      <c r="H65">
        <f>YEAR(Tabela2[[#This Row],[DATA]])</f>
        <v>2023</v>
      </c>
      <c r="I65" t="str">
        <f>INT((MONTH(Tabela2[[#This Row],[DATA]])-1)/3)+1&amp;"° TRI"</f>
        <v>4° TRI</v>
      </c>
      <c r="J65" t="str">
        <f>TEXT(Tabela2[[#This Row],[DATA]],"mmm")</f>
        <v>Oct</v>
      </c>
    </row>
    <row r="66" spans="1:10" x14ac:dyDescent="0.25">
      <c r="A66" t="s">
        <v>11</v>
      </c>
      <c r="B66" s="1">
        <v>45229</v>
      </c>
      <c r="C66" t="s">
        <v>134</v>
      </c>
      <c r="D66" s="14">
        <v>-25</v>
      </c>
      <c r="E66" t="s">
        <v>53</v>
      </c>
      <c r="F66" t="str">
        <f>VLOOKUP(Tabela2[[#This Row],[DESCRICAO]],Tabela1[#All],2,0)</f>
        <v>DESPESA</v>
      </c>
      <c r="G66" t="str">
        <f>VLOOKUP(Tabela2[[#This Row],[DESCRICAO]],Tabela1[#All],3,0)</f>
        <v>Pessoal</v>
      </c>
      <c r="H66">
        <f>YEAR(Tabela2[[#This Row],[DATA]])</f>
        <v>2023</v>
      </c>
      <c r="I66" t="str">
        <f>INT((MONTH(Tabela2[[#This Row],[DATA]])-1)/3)+1&amp;"° TRI"</f>
        <v>4° TRI</v>
      </c>
      <c r="J66" t="str">
        <f>TEXT(Tabela2[[#This Row],[DATA]],"mmm")</f>
        <v>Oct</v>
      </c>
    </row>
    <row r="67" spans="1:10" x14ac:dyDescent="0.25">
      <c r="A67" t="s">
        <v>11</v>
      </c>
      <c r="B67" s="1">
        <v>45229</v>
      </c>
      <c r="C67" t="s">
        <v>121</v>
      </c>
      <c r="D67" s="14">
        <v>-6</v>
      </c>
      <c r="E67" t="s">
        <v>83</v>
      </c>
      <c r="F67" t="str">
        <f>VLOOKUP(Tabela2[[#This Row],[DESCRICAO]],Tabela1[#All],2,0)</f>
        <v>DESPESA</v>
      </c>
      <c r="G67" t="str">
        <f>VLOOKUP(Tabela2[[#This Row],[DESCRICAO]],Tabela1[#All],3,0)</f>
        <v>Alimentação</v>
      </c>
      <c r="H67">
        <f>YEAR(Tabela2[[#This Row],[DATA]])</f>
        <v>2023</v>
      </c>
      <c r="I67" t="str">
        <f>INT((MONTH(Tabela2[[#This Row],[DATA]])-1)/3)+1&amp;"° TRI"</f>
        <v>4° TRI</v>
      </c>
      <c r="J67" t="str">
        <f>TEXT(Tabela2[[#This Row],[DATA]],"mmm")</f>
        <v>Oct</v>
      </c>
    </row>
    <row r="68" spans="1:10" x14ac:dyDescent="0.25">
      <c r="A68" t="s">
        <v>11</v>
      </c>
      <c r="B68" s="1">
        <v>45229</v>
      </c>
      <c r="C68" t="s">
        <v>121</v>
      </c>
      <c r="D68" s="14">
        <v>-6</v>
      </c>
      <c r="E68" t="s">
        <v>83</v>
      </c>
      <c r="F68" t="str">
        <f>VLOOKUP(Tabela2[[#This Row],[DESCRICAO]],Tabela1[#All],2,0)</f>
        <v>DESPESA</v>
      </c>
      <c r="G68" t="str">
        <f>VLOOKUP(Tabela2[[#This Row],[DESCRICAO]],Tabela1[#All],3,0)</f>
        <v>Alimentação</v>
      </c>
      <c r="H68">
        <f>YEAR(Tabela2[[#This Row],[DATA]])</f>
        <v>2023</v>
      </c>
      <c r="I68" t="str">
        <f>INT((MONTH(Tabela2[[#This Row],[DATA]])-1)/3)+1&amp;"° TRI"</f>
        <v>4° TRI</v>
      </c>
      <c r="J68" t="str">
        <f>TEXT(Tabela2[[#This Row],[DATA]],"mmm")</f>
        <v>Oct</v>
      </c>
    </row>
    <row r="69" spans="1:10" x14ac:dyDescent="0.25">
      <c r="A69" t="s">
        <v>11</v>
      </c>
      <c r="B69" s="1">
        <v>45230</v>
      </c>
      <c r="C69" t="s">
        <v>121</v>
      </c>
      <c r="D69" s="14">
        <v>-5</v>
      </c>
      <c r="E69" t="s">
        <v>83</v>
      </c>
      <c r="F69" t="str">
        <f>VLOOKUP(Tabela2[[#This Row],[DESCRICAO]],Tabela1[#All],2,0)</f>
        <v>DESPESA</v>
      </c>
      <c r="G69" t="str">
        <f>VLOOKUP(Tabela2[[#This Row],[DESCRICAO]],Tabela1[#All],3,0)</f>
        <v>Alimentação</v>
      </c>
      <c r="H69">
        <f>YEAR(Tabela2[[#This Row],[DATA]])</f>
        <v>2023</v>
      </c>
      <c r="I69" t="str">
        <f>INT((MONTH(Tabela2[[#This Row],[DATA]])-1)/3)+1&amp;"° TRI"</f>
        <v>4° TRI</v>
      </c>
      <c r="J69" t="str">
        <f>TEXT(Tabela2[[#This Row],[DATA]],"mmm")</f>
        <v>Oct</v>
      </c>
    </row>
    <row r="70" spans="1:10" x14ac:dyDescent="0.25">
      <c r="A70" t="s">
        <v>11</v>
      </c>
      <c r="B70" s="1">
        <v>45230</v>
      </c>
      <c r="C70" t="s">
        <v>121</v>
      </c>
      <c r="D70" s="14">
        <v>-5</v>
      </c>
      <c r="E70" t="s">
        <v>83</v>
      </c>
      <c r="F70" t="str">
        <f>VLOOKUP(Tabela2[[#This Row],[DESCRICAO]],Tabela1[#All],2,0)</f>
        <v>DESPESA</v>
      </c>
      <c r="G70" t="str">
        <f>VLOOKUP(Tabela2[[#This Row],[DESCRICAO]],Tabela1[#All],3,0)</f>
        <v>Alimentação</v>
      </c>
      <c r="H70">
        <f>YEAR(Tabela2[[#This Row],[DATA]])</f>
        <v>2023</v>
      </c>
      <c r="I70" t="str">
        <f>INT((MONTH(Tabela2[[#This Row],[DATA]])-1)/3)+1&amp;"° TRI"</f>
        <v>4° TRI</v>
      </c>
      <c r="J70" t="str">
        <f>TEXT(Tabela2[[#This Row],[DATA]],"mmm")</f>
        <v>Oct</v>
      </c>
    </row>
    <row r="71" spans="1:10" x14ac:dyDescent="0.25">
      <c r="A71" t="s">
        <v>11</v>
      </c>
      <c r="B71" s="1">
        <v>45231</v>
      </c>
      <c r="C71" t="s">
        <v>135</v>
      </c>
      <c r="D71" s="14">
        <v>-6.48</v>
      </c>
      <c r="E71" t="s">
        <v>57</v>
      </c>
      <c r="F71" t="str">
        <f>VLOOKUP(Tabela2[[#This Row],[DESCRICAO]],Tabela1[#All],2,0)</f>
        <v>DESPESA</v>
      </c>
      <c r="G71" t="str">
        <f>VLOOKUP(Tabela2[[#This Row],[DESCRICAO]],Tabela1[#All],3,0)</f>
        <v>Saúde</v>
      </c>
      <c r="H71">
        <f>YEAR(Tabela2[[#This Row],[DATA]])</f>
        <v>2023</v>
      </c>
      <c r="I71" t="str">
        <f>INT((MONTH(Tabela2[[#This Row],[DATA]])-1)/3)+1&amp;"° TRI"</f>
        <v>4° TRI</v>
      </c>
      <c r="J71" t="str">
        <f>TEXT(Tabela2[[#This Row],[DATA]],"mmm")</f>
        <v>Nov</v>
      </c>
    </row>
    <row r="72" spans="1:10" x14ac:dyDescent="0.25">
      <c r="A72" t="s">
        <v>11</v>
      </c>
      <c r="B72" s="1">
        <v>45236</v>
      </c>
      <c r="C72" t="s">
        <v>51</v>
      </c>
      <c r="D72" s="14">
        <v>999.5</v>
      </c>
      <c r="E72" t="s">
        <v>12</v>
      </c>
      <c r="F72" t="str">
        <f>VLOOKUP(Tabela2[[#This Row],[DESCRICAO]],Tabela1[#All],2,0)</f>
        <v>RECEITA</v>
      </c>
      <c r="G72">
        <f>VLOOKUP(Tabela2[[#This Row],[DESCRICAO]],Tabela1[#All],3,0)</f>
        <v>0</v>
      </c>
      <c r="H72">
        <f>YEAR(Tabela2[[#This Row],[DATA]])</f>
        <v>2023</v>
      </c>
      <c r="I72" t="str">
        <f>INT((MONTH(Tabela2[[#This Row],[DATA]])-1)/3)+1&amp;"° TRI"</f>
        <v>4° TRI</v>
      </c>
      <c r="J72" t="str">
        <f>TEXT(Tabela2[[#This Row],[DATA]],"mmm")</f>
        <v>Nov</v>
      </c>
    </row>
    <row r="73" spans="1:10" x14ac:dyDescent="0.25">
      <c r="A73" t="s">
        <v>11</v>
      </c>
      <c r="B73" s="1">
        <v>45237</v>
      </c>
      <c r="C73" t="s">
        <v>136</v>
      </c>
      <c r="D73" s="14">
        <v>-392.2</v>
      </c>
      <c r="E73" t="s">
        <v>79</v>
      </c>
      <c r="F73" t="str">
        <f>VLOOKUP(Tabela2[[#This Row],[DESCRICAO]],Tabela1[#All],2,0)</f>
        <v>DESPESA</v>
      </c>
      <c r="G73" t="str">
        <f>VLOOKUP(Tabela2[[#This Row],[DESCRICAO]],Tabela1[#All],3,0)</f>
        <v>Serviço Financeiro</v>
      </c>
      <c r="H73">
        <f>YEAR(Tabela2[[#This Row],[DATA]])</f>
        <v>2023</v>
      </c>
      <c r="I73" t="str">
        <f>INT((MONTH(Tabela2[[#This Row],[DATA]])-1)/3)+1&amp;"° TRI"</f>
        <v>4° TRI</v>
      </c>
      <c r="J73" t="str">
        <f>TEXT(Tabela2[[#This Row],[DATA]],"mmm")</f>
        <v>Nov</v>
      </c>
    </row>
    <row r="74" spans="1:10" x14ac:dyDescent="0.25">
      <c r="A74" t="s">
        <v>11</v>
      </c>
      <c r="B74" s="1">
        <v>45237</v>
      </c>
      <c r="C74" t="s">
        <v>121</v>
      </c>
      <c r="D74" s="14">
        <v>-8.5</v>
      </c>
      <c r="E74" t="s">
        <v>83</v>
      </c>
      <c r="F74" t="str">
        <f>VLOOKUP(Tabela2[[#This Row],[DESCRICAO]],Tabela1[#All],2,0)</f>
        <v>DESPESA</v>
      </c>
      <c r="G74" t="str">
        <f>VLOOKUP(Tabela2[[#This Row],[DESCRICAO]],Tabela1[#All],3,0)</f>
        <v>Alimentação</v>
      </c>
      <c r="H74">
        <f>YEAR(Tabela2[[#This Row],[DATA]])</f>
        <v>2023</v>
      </c>
      <c r="I74" t="str">
        <f>INT((MONTH(Tabela2[[#This Row],[DATA]])-1)/3)+1&amp;"° TRI"</f>
        <v>4° TRI</v>
      </c>
      <c r="J74" t="str">
        <f>TEXT(Tabela2[[#This Row],[DATA]],"mmm")</f>
        <v>Nov</v>
      </c>
    </row>
    <row r="75" spans="1:10" x14ac:dyDescent="0.25">
      <c r="A75" t="s">
        <v>11</v>
      </c>
      <c r="B75" s="1">
        <v>45237</v>
      </c>
      <c r="C75" t="s">
        <v>121</v>
      </c>
      <c r="D75" s="14">
        <v>-5</v>
      </c>
      <c r="E75" t="s">
        <v>83</v>
      </c>
      <c r="F75" t="str">
        <f>VLOOKUP(Tabela2[[#This Row],[DESCRICAO]],Tabela1[#All],2,0)</f>
        <v>DESPESA</v>
      </c>
      <c r="G75" t="str">
        <f>VLOOKUP(Tabela2[[#This Row],[DESCRICAO]],Tabela1[#All],3,0)</f>
        <v>Alimentação</v>
      </c>
      <c r="H75">
        <f>YEAR(Tabela2[[#This Row],[DATA]])</f>
        <v>2023</v>
      </c>
      <c r="I75" t="str">
        <f>INT((MONTH(Tabela2[[#This Row],[DATA]])-1)/3)+1&amp;"° TRI"</f>
        <v>4° TRI</v>
      </c>
      <c r="J75" t="str">
        <f>TEXT(Tabela2[[#This Row],[DATA]],"mmm")</f>
        <v>Nov</v>
      </c>
    </row>
    <row r="76" spans="1:10" x14ac:dyDescent="0.25">
      <c r="A76" t="s">
        <v>11</v>
      </c>
      <c r="B76" s="1">
        <v>45238</v>
      </c>
      <c r="C76" t="s">
        <v>121</v>
      </c>
      <c r="D76" s="14">
        <v>-6</v>
      </c>
      <c r="E76" t="s">
        <v>83</v>
      </c>
      <c r="F76" t="str">
        <f>VLOOKUP(Tabela2[[#This Row],[DESCRICAO]],Tabela1[#All],2,0)</f>
        <v>DESPESA</v>
      </c>
      <c r="G76" t="str">
        <f>VLOOKUP(Tabela2[[#This Row],[DESCRICAO]],Tabela1[#All],3,0)</f>
        <v>Alimentação</v>
      </c>
      <c r="H76">
        <f>YEAR(Tabela2[[#This Row],[DATA]])</f>
        <v>2023</v>
      </c>
      <c r="I76" t="str">
        <f>INT((MONTH(Tabela2[[#This Row],[DATA]])-1)/3)+1&amp;"° TRI"</f>
        <v>4° TRI</v>
      </c>
      <c r="J76" t="str">
        <f>TEXT(Tabela2[[#This Row],[DATA]],"mmm")</f>
        <v>Nov</v>
      </c>
    </row>
    <row r="77" spans="1:10" x14ac:dyDescent="0.25">
      <c r="A77" t="s">
        <v>11</v>
      </c>
      <c r="B77" s="1">
        <v>45240</v>
      </c>
      <c r="C77" t="s">
        <v>121</v>
      </c>
      <c r="D77" s="14">
        <v>-3</v>
      </c>
      <c r="E77" t="s">
        <v>83</v>
      </c>
      <c r="F77" t="str">
        <f>VLOOKUP(Tabela2[[#This Row],[DESCRICAO]],Tabela1[#All],2,0)</f>
        <v>DESPESA</v>
      </c>
      <c r="G77" t="str">
        <f>VLOOKUP(Tabela2[[#This Row],[DESCRICAO]],Tabela1[#All],3,0)</f>
        <v>Alimentação</v>
      </c>
      <c r="H77">
        <f>YEAR(Tabela2[[#This Row],[DATA]])</f>
        <v>2023</v>
      </c>
      <c r="I77" t="str">
        <f>INT((MONTH(Tabela2[[#This Row],[DATA]])-1)/3)+1&amp;"° TRI"</f>
        <v>4° TRI</v>
      </c>
      <c r="J77" t="str">
        <f>TEXT(Tabela2[[#This Row],[DATA]],"mmm")</f>
        <v>Nov</v>
      </c>
    </row>
    <row r="78" spans="1:10" x14ac:dyDescent="0.25">
      <c r="A78" t="s">
        <v>11</v>
      </c>
      <c r="B78" s="1">
        <v>45240</v>
      </c>
      <c r="C78" t="s">
        <v>137</v>
      </c>
      <c r="D78" s="14">
        <v>-2</v>
      </c>
      <c r="E78" t="s">
        <v>50</v>
      </c>
      <c r="F78" t="str">
        <f>VLOOKUP(Tabela2[[#This Row],[DESCRICAO]],Tabela1[#All],2,0)</f>
        <v>DESPESA</v>
      </c>
      <c r="G78" t="str">
        <f>VLOOKUP(Tabela2[[#This Row],[DESCRICAO]],Tabela1[#All],3,0)</f>
        <v>Pessoal</v>
      </c>
      <c r="H78">
        <f>YEAR(Tabela2[[#This Row],[DATA]])</f>
        <v>2023</v>
      </c>
      <c r="I78" t="str">
        <f>INT((MONTH(Tabela2[[#This Row],[DATA]])-1)/3)+1&amp;"° TRI"</f>
        <v>4° TRI</v>
      </c>
      <c r="J78" t="str">
        <f>TEXT(Tabela2[[#This Row],[DATA]],"mmm")</f>
        <v>Nov</v>
      </c>
    </row>
    <row r="79" spans="1:10" x14ac:dyDescent="0.25">
      <c r="A79" t="s">
        <v>11</v>
      </c>
      <c r="B79" s="1">
        <v>45243</v>
      </c>
      <c r="C79" t="s">
        <v>110</v>
      </c>
      <c r="D79" s="14">
        <v>250</v>
      </c>
      <c r="E79" t="s">
        <v>78</v>
      </c>
      <c r="F79" t="str">
        <f>VLOOKUP(Tabela2[[#This Row],[DESCRICAO]],Tabela1[#All],2,0)</f>
        <v>RECEITA</v>
      </c>
      <c r="G79">
        <f>VLOOKUP(Tabela2[[#This Row],[DESCRICAO]],Tabela1[#All],3,0)</f>
        <v>0</v>
      </c>
      <c r="H79">
        <f>YEAR(Tabela2[[#This Row],[DATA]])</f>
        <v>2023</v>
      </c>
      <c r="I79" t="str">
        <f>INT((MONTH(Tabela2[[#This Row],[DATA]])-1)/3)+1&amp;"° TRI"</f>
        <v>4° TRI</v>
      </c>
      <c r="J79" t="str">
        <f>TEXT(Tabela2[[#This Row],[DATA]],"mmm")</f>
        <v>Nov</v>
      </c>
    </row>
    <row r="80" spans="1:10" x14ac:dyDescent="0.25">
      <c r="A80" t="s">
        <v>11</v>
      </c>
      <c r="B80" s="1">
        <v>45243</v>
      </c>
      <c r="C80" t="s">
        <v>85</v>
      </c>
      <c r="D80" s="14">
        <v>-22</v>
      </c>
      <c r="E80" t="s">
        <v>83</v>
      </c>
      <c r="F80" t="str">
        <f>VLOOKUP(Tabela2[[#This Row],[DESCRICAO]],Tabela1[#All],2,0)</f>
        <v>DESPESA</v>
      </c>
      <c r="G80" t="str">
        <f>VLOOKUP(Tabela2[[#This Row],[DESCRICAO]],Tabela1[#All],3,0)</f>
        <v>Alimentação</v>
      </c>
      <c r="H80">
        <f>YEAR(Tabela2[[#This Row],[DATA]])</f>
        <v>2023</v>
      </c>
      <c r="I80" t="str">
        <f>INT((MONTH(Tabela2[[#This Row],[DATA]])-1)/3)+1&amp;"° TRI"</f>
        <v>4° TRI</v>
      </c>
      <c r="J80" t="str">
        <f>TEXT(Tabela2[[#This Row],[DATA]],"mmm")</f>
        <v>Nov</v>
      </c>
    </row>
    <row r="81" spans="1:10" x14ac:dyDescent="0.25">
      <c r="A81" t="s">
        <v>11</v>
      </c>
      <c r="B81" s="1">
        <v>45243</v>
      </c>
      <c r="C81" t="s">
        <v>109</v>
      </c>
      <c r="D81" s="14">
        <v>-707.7</v>
      </c>
      <c r="E81" t="s">
        <v>13</v>
      </c>
      <c r="F81" t="str">
        <f>VLOOKUP(Tabela2[[#This Row],[DESCRICAO]],Tabela1[#All],2,0)</f>
        <v>DESPESA</v>
      </c>
      <c r="G81" t="str">
        <f>VLOOKUP(Tabela2[[#This Row],[DESCRICAO]],Tabela1[#All],3,0)</f>
        <v>Serviço Financeiro</v>
      </c>
      <c r="H81">
        <f>YEAR(Tabela2[[#This Row],[DATA]])</f>
        <v>2023</v>
      </c>
      <c r="I81" t="str">
        <f>INT((MONTH(Tabela2[[#This Row],[DATA]])-1)/3)+1&amp;"° TRI"</f>
        <v>4° TRI</v>
      </c>
      <c r="J81" t="str">
        <f>TEXT(Tabela2[[#This Row],[DATA]],"mmm")</f>
        <v>Nov</v>
      </c>
    </row>
    <row r="82" spans="1:10" x14ac:dyDescent="0.25">
      <c r="A82" t="s">
        <v>11</v>
      </c>
      <c r="B82" s="1">
        <v>45243</v>
      </c>
      <c r="C82" t="s">
        <v>121</v>
      </c>
      <c r="D82" s="14">
        <v>-8</v>
      </c>
      <c r="E82" t="s">
        <v>83</v>
      </c>
      <c r="F82" t="str">
        <f>VLOOKUP(Tabela2[[#This Row],[DESCRICAO]],Tabela1[#All],2,0)</f>
        <v>DESPESA</v>
      </c>
      <c r="G82" t="str">
        <f>VLOOKUP(Tabela2[[#This Row],[DESCRICAO]],Tabela1[#All],3,0)</f>
        <v>Alimentação</v>
      </c>
      <c r="H82">
        <f>YEAR(Tabela2[[#This Row],[DATA]])</f>
        <v>2023</v>
      </c>
      <c r="I82" t="str">
        <f>INT((MONTH(Tabela2[[#This Row],[DATA]])-1)/3)+1&amp;"° TRI"</f>
        <v>4° TRI</v>
      </c>
      <c r="J82" t="str">
        <f>TEXT(Tabela2[[#This Row],[DATA]],"mmm")</f>
        <v>Nov</v>
      </c>
    </row>
    <row r="83" spans="1:10" x14ac:dyDescent="0.25">
      <c r="A83" t="s">
        <v>11</v>
      </c>
      <c r="B83" s="1">
        <v>45243</v>
      </c>
      <c r="C83" t="s">
        <v>121</v>
      </c>
      <c r="D83" s="14">
        <v>-6</v>
      </c>
      <c r="E83" t="s">
        <v>83</v>
      </c>
      <c r="F83" t="str">
        <f>VLOOKUP(Tabela2[[#This Row],[DESCRICAO]],Tabela1[#All],2,0)</f>
        <v>DESPESA</v>
      </c>
      <c r="G83" t="str">
        <f>VLOOKUP(Tabela2[[#This Row],[DESCRICAO]],Tabela1[#All],3,0)</f>
        <v>Alimentação</v>
      </c>
      <c r="H83">
        <f>YEAR(Tabela2[[#This Row],[DATA]])</f>
        <v>2023</v>
      </c>
      <c r="I83" t="str">
        <f>INT((MONTH(Tabela2[[#This Row],[DATA]])-1)/3)+1&amp;"° TRI"</f>
        <v>4° TRI</v>
      </c>
      <c r="J83" t="str">
        <f>TEXT(Tabela2[[#This Row],[DATA]],"mmm")</f>
        <v>Nov</v>
      </c>
    </row>
    <row r="84" spans="1:10" x14ac:dyDescent="0.25">
      <c r="A84" t="s">
        <v>11</v>
      </c>
      <c r="B84" s="1">
        <v>45246</v>
      </c>
      <c r="C84" t="s">
        <v>138</v>
      </c>
      <c r="D84" s="14">
        <v>-2</v>
      </c>
      <c r="E84" t="s">
        <v>83</v>
      </c>
      <c r="F84" t="str">
        <f>VLOOKUP(Tabela2[[#This Row],[DESCRICAO]],Tabela1[#All],2,0)</f>
        <v>DESPESA</v>
      </c>
      <c r="G84" t="str">
        <f>VLOOKUP(Tabela2[[#This Row],[DESCRICAO]],Tabela1[#All],3,0)</f>
        <v>Alimentação</v>
      </c>
      <c r="H84">
        <f>YEAR(Tabela2[[#This Row],[DATA]])</f>
        <v>2023</v>
      </c>
      <c r="I84" t="str">
        <f>INT((MONTH(Tabela2[[#This Row],[DATA]])-1)/3)+1&amp;"° TRI"</f>
        <v>4° TRI</v>
      </c>
      <c r="J84" t="str">
        <f>TEXT(Tabela2[[#This Row],[DATA]],"mmm")</f>
        <v>Nov</v>
      </c>
    </row>
    <row r="85" spans="1:10" x14ac:dyDescent="0.25">
      <c r="A85" t="s">
        <v>11</v>
      </c>
      <c r="B85" s="1">
        <v>45246</v>
      </c>
      <c r="C85" t="s">
        <v>139</v>
      </c>
      <c r="D85" s="14">
        <v>2</v>
      </c>
      <c r="E85" t="s">
        <v>95</v>
      </c>
      <c r="F85" t="str">
        <f>VLOOKUP(Tabela2[[#This Row],[DESCRICAO]],Tabela1[#All],2,0)</f>
        <v>RECEITA</v>
      </c>
      <c r="G85" t="str">
        <f>VLOOKUP(Tabela2[[#This Row],[DESCRICAO]],Tabela1[#All],3,0)</f>
        <v>Pessoal</v>
      </c>
      <c r="H85">
        <f>YEAR(Tabela2[[#This Row],[DATA]])</f>
        <v>2023</v>
      </c>
      <c r="I85" t="str">
        <f>INT((MONTH(Tabela2[[#This Row],[DATA]])-1)/3)+1&amp;"° TRI"</f>
        <v>4° TRI</v>
      </c>
      <c r="J85" t="str">
        <f>TEXT(Tabela2[[#This Row],[DATA]],"mmm")</f>
        <v>Nov</v>
      </c>
    </row>
    <row r="86" spans="1:10" x14ac:dyDescent="0.25">
      <c r="A86" t="s">
        <v>11</v>
      </c>
      <c r="B86" s="1">
        <v>45247</v>
      </c>
      <c r="C86" t="s">
        <v>140</v>
      </c>
      <c r="D86" s="14">
        <v>-7</v>
      </c>
      <c r="E86" t="s">
        <v>83</v>
      </c>
      <c r="F86" t="str">
        <f>VLOOKUP(Tabela2[[#This Row],[DESCRICAO]],Tabela1[#All],2,0)</f>
        <v>DESPESA</v>
      </c>
      <c r="G86" t="str">
        <f>VLOOKUP(Tabela2[[#This Row],[DESCRICAO]],Tabela1[#All],3,0)</f>
        <v>Alimentação</v>
      </c>
      <c r="H86">
        <f>YEAR(Tabela2[[#This Row],[DATA]])</f>
        <v>2023</v>
      </c>
      <c r="I86" t="str">
        <f>INT((MONTH(Tabela2[[#This Row],[DATA]])-1)/3)+1&amp;"° TRI"</f>
        <v>4° TRI</v>
      </c>
      <c r="J86" t="str">
        <f>TEXT(Tabela2[[#This Row],[DATA]],"mmm")</f>
        <v>Nov</v>
      </c>
    </row>
    <row r="87" spans="1:10" x14ac:dyDescent="0.25">
      <c r="A87" t="s">
        <v>11</v>
      </c>
      <c r="B87" s="1">
        <v>45250</v>
      </c>
      <c r="C87" t="s">
        <v>141</v>
      </c>
      <c r="D87" s="14">
        <v>-50</v>
      </c>
      <c r="E87" t="s">
        <v>3</v>
      </c>
      <c r="F87" t="str">
        <f>VLOOKUP(Tabela2[[#This Row],[DESCRICAO]],Tabela1[#All],2,0)</f>
        <v>DESPESA</v>
      </c>
      <c r="G87" t="str">
        <f>VLOOKUP(Tabela2[[#This Row],[DESCRICAO]],Tabela1[#All],3,0)</f>
        <v>Transporte</v>
      </c>
      <c r="H87">
        <f>YEAR(Tabela2[[#This Row],[DATA]])</f>
        <v>2023</v>
      </c>
      <c r="I87" t="str">
        <f>INT((MONTH(Tabela2[[#This Row],[DATA]])-1)/3)+1&amp;"° TRI"</f>
        <v>4° TRI</v>
      </c>
      <c r="J87" t="str">
        <f>TEXT(Tabela2[[#This Row],[DATA]],"mmm")</f>
        <v>Nov</v>
      </c>
    </row>
    <row r="88" spans="1:10" x14ac:dyDescent="0.25">
      <c r="A88" t="s">
        <v>11</v>
      </c>
      <c r="B88" s="1">
        <v>45250</v>
      </c>
      <c r="C88" t="s">
        <v>110</v>
      </c>
      <c r="D88" s="14">
        <v>150</v>
      </c>
      <c r="E88" t="s">
        <v>78</v>
      </c>
      <c r="F88" t="str">
        <f>VLOOKUP(Tabela2[[#This Row],[DESCRICAO]],Tabela1[#All],2,0)</f>
        <v>RECEITA</v>
      </c>
      <c r="G88">
        <f>VLOOKUP(Tabela2[[#This Row],[DESCRICAO]],Tabela1[#All],3,0)</f>
        <v>0</v>
      </c>
      <c r="H88">
        <f>YEAR(Tabela2[[#This Row],[DATA]])</f>
        <v>2023</v>
      </c>
      <c r="I88" t="str">
        <f>INT((MONTH(Tabela2[[#This Row],[DATA]])-1)/3)+1&amp;"° TRI"</f>
        <v>4° TRI</v>
      </c>
      <c r="J88" t="str">
        <f>TEXT(Tabela2[[#This Row],[DATA]],"mmm")</f>
        <v>Nov</v>
      </c>
    </row>
    <row r="89" spans="1:10" x14ac:dyDescent="0.25">
      <c r="A89" t="s">
        <v>11</v>
      </c>
      <c r="B89" s="1">
        <v>45250</v>
      </c>
      <c r="C89" t="s">
        <v>85</v>
      </c>
      <c r="D89" s="14">
        <v>-1.8</v>
      </c>
      <c r="E89" t="s">
        <v>83</v>
      </c>
      <c r="F89" t="str">
        <f>VLOOKUP(Tabela2[[#This Row],[DESCRICAO]],Tabela1[#All],2,0)</f>
        <v>DESPESA</v>
      </c>
      <c r="G89" t="str">
        <f>VLOOKUP(Tabela2[[#This Row],[DESCRICAO]],Tabela1[#All],3,0)</f>
        <v>Alimentação</v>
      </c>
      <c r="H89">
        <f>YEAR(Tabela2[[#This Row],[DATA]])</f>
        <v>2023</v>
      </c>
      <c r="I89" t="str">
        <f>INT((MONTH(Tabela2[[#This Row],[DATA]])-1)/3)+1&amp;"° TRI"</f>
        <v>4° TRI</v>
      </c>
      <c r="J89" t="str">
        <f>TEXT(Tabela2[[#This Row],[DATA]],"mmm")</f>
        <v>Nov</v>
      </c>
    </row>
    <row r="90" spans="1:10" x14ac:dyDescent="0.25">
      <c r="A90" t="s">
        <v>11</v>
      </c>
      <c r="B90" s="1">
        <v>45250</v>
      </c>
      <c r="C90" t="s">
        <v>142</v>
      </c>
      <c r="D90" s="14">
        <v>-7.5</v>
      </c>
      <c r="E90" t="s">
        <v>83</v>
      </c>
      <c r="F90" t="str">
        <f>VLOOKUP(Tabela2[[#This Row],[DESCRICAO]],Tabela1[#All],2,0)</f>
        <v>DESPESA</v>
      </c>
      <c r="G90" t="str">
        <f>VLOOKUP(Tabela2[[#This Row],[DESCRICAO]],Tabela1[#All],3,0)</f>
        <v>Alimentação</v>
      </c>
      <c r="H90">
        <f>YEAR(Tabela2[[#This Row],[DATA]])</f>
        <v>2023</v>
      </c>
      <c r="I90" t="str">
        <f>INT((MONTH(Tabela2[[#This Row],[DATA]])-1)/3)+1&amp;"° TRI"</f>
        <v>4° TRI</v>
      </c>
      <c r="J90" t="str">
        <f>TEXT(Tabela2[[#This Row],[DATA]],"mmm")</f>
        <v>Nov</v>
      </c>
    </row>
    <row r="91" spans="1:10" x14ac:dyDescent="0.25">
      <c r="A91" t="s">
        <v>11</v>
      </c>
      <c r="B91" s="1">
        <v>45250</v>
      </c>
      <c r="C91" t="s">
        <v>143</v>
      </c>
      <c r="D91" s="14">
        <v>-27.9</v>
      </c>
      <c r="E91" t="s">
        <v>57</v>
      </c>
      <c r="F91" t="str">
        <f>VLOOKUP(Tabela2[[#This Row],[DESCRICAO]],Tabela1[#All],2,0)</f>
        <v>DESPESA</v>
      </c>
      <c r="G91" t="str">
        <f>VLOOKUP(Tabela2[[#This Row],[DESCRICAO]],Tabela1[#All],3,0)</f>
        <v>Saúde</v>
      </c>
      <c r="H91">
        <f>YEAR(Tabela2[[#This Row],[DATA]])</f>
        <v>2023</v>
      </c>
      <c r="I91" t="str">
        <f>INT((MONTH(Tabela2[[#This Row],[DATA]])-1)/3)+1&amp;"° TRI"</f>
        <v>4° TRI</v>
      </c>
      <c r="J91" t="str">
        <f>TEXT(Tabela2[[#This Row],[DATA]],"mmm")</f>
        <v>Nov</v>
      </c>
    </row>
    <row r="92" spans="1:10" x14ac:dyDescent="0.25">
      <c r="A92" t="s">
        <v>11</v>
      </c>
      <c r="B92" s="1">
        <v>45250</v>
      </c>
      <c r="C92" t="s">
        <v>144</v>
      </c>
      <c r="D92" s="14">
        <v>-40</v>
      </c>
      <c r="E92" t="s">
        <v>50</v>
      </c>
      <c r="F92" t="str">
        <f>VLOOKUP(Tabela2[[#This Row],[DESCRICAO]],Tabela1[#All],2,0)</f>
        <v>DESPESA</v>
      </c>
      <c r="G92" t="str">
        <f>VLOOKUP(Tabela2[[#This Row],[DESCRICAO]],Tabela1[#All],3,0)</f>
        <v>Pessoal</v>
      </c>
      <c r="H92">
        <f>YEAR(Tabela2[[#This Row],[DATA]])</f>
        <v>2023</v>
      </c>
      <c r="I92" t="str">
        <f>INT((MONTH(Tabela2[[#This Row],[DATA]])-1)/3)+1&amp;"° TRI"</f>
        <v>4° TRI</v>
      </c>
      <c r="J92" t="str">
        <f>TEXT(Tabela2[[#This Row],[DATA]],"mmm")</f>
        <v>Nov</v>
      </c>
    </row>
    <row r="93" spans="1:10" x14ac:dyDescent="0.25">
      <c r="A93" t="s">
        <v>11</v>
      </c>
      <c r="B93" s="1">
        <v>45250</v>
      </c>
      <c r="C93" t="s">
        <v>145</v>
      </c>
      <c r="D93" s="14">
        <v>-12.5</v>
      </c>
      <c r="E93" t="s">
        <v>83</v>
      </c>
      <c r="F93" t="str">
        <f>VLOOKUP(Tabela2[[#This Row],[DESCRICAO]],Tabela1[#All],2,0)</f>
        <v>DESPESA</v>
      </c>
      <c r="G93" t="str">
        <f>VLOOKUP(Tabela2[[#This Row],[DESCRICAO]],Tabela1[#All],3,0)</f>
        <v>Alimentação</v>
      </c>
      <c r="H93">
        <f>YEAR(Tabela2[[#This Row],[DATA]])</f>
        <v>2023</v>
      </c>
      <c r="I93" t="str">
        <f>INT((MONTH(Tabela2[[#This Row],[DATA]])-1)/3)+1&amp;"° TRI"</f>
        <v>4° TRI</v>
      </c>
      <c r="J93" t="str">
        <f>TEXT(Tabela2[[#This Row],[DATA]],"mmm")</f>
        <v>Nov</v>
      </c>
    </row>
    <row r="94" spans="1:10" x14ac:dyDescent="0.25">
      <c r="A94" t="s">
        <v>11</v>
      </c>
      <c r="B94" s="1">
        <v>45252</v>
      </c>
      <c r="C94" t="s">
        <v>121</v>
      </c>
      <c r="D94" s="14">
        <v>-7</v>
      </c>
      <c r="E94" t="s">
        <v>83</v>
      </c>
      <c r="F94" t="str">
        <f>VLOOKUP(Tabela2[[#This Row],[DESCRICAO]],Tabela1[#All],2,0)</f>
        <v>DESPESA</v>
      </c>
      <c r="G94" t="str">
        <f>VLOOKUP(Tabela2[[#This Row],[DESCRICAO]],Tabela1[#All],3,0)</f>
        <v>Alimentação</v>
      </c>
      <c r="H94">
        <f>YEAR(Tabela2[[#This Row],[DATA]])</f>
        <v>2023</v>
      </c>
      <c r="I94" t="str">
        <f>INT((MONTH(Tabela2[[#This Row],[DATA]])-1)/3)+1&amp;"° TRI"</f>
        <v>4° TRI</v>
      </c>
      <c r="J94" t="str">
        <f>TEXT(Tabela2[[#This Row],[DATA]],"mmm")</f>
        <v>Nov</v>
      </c>
    </row>
    <row r="95" spans="1:10" x14ac:dyDescent="0.25">
      <c r="A95" t="s">
        <v>11</v>
      </c>
      <c r="B95" s="1">
        <v>45252</v>
      </c>
      <c r="C95" t="s">
        <v>109</v>
      </c>
      <c r="D95" s="14">
        <v>-74.709999999999994</v>
      </c>
      <c r="E95" t="s">
        <v>58</v>
      </c>
      <c r="F95" t="str">
        <f>VLOOKUP(Tabela2[[#This Row],[DESCRICAO]],Tabela1[#All],2,0)</f>
        <v>DESPESA</v>
      </c>
      <c r="G95" t="str">
        <f>VLOOKUP(Tabela2[[#This Row],[DESCRICAO]],Tabela1[#All],3,0)</f>
        <v>Pessoal</v>
      </c>
      <c r="H95">
        <f>YEAR(Tabela2[[#This Row],[DATA]])</f>
        <v>2023</v>
      </c>
      <c r="I95" t="str">
        <f>INT((MONTH(Tabela2[[#This Row],[DATA]])-1)/3)+1&amp;"° TRI"</f>
        <v>4° TRI</v>
      </c>
      <c r="J95" t="str">
        <f>TEXT(Tabela2[[#This Row],[DATA]],"mmm")</f>
        <v>Nov</v>
      </c>
    </row>
    <row r="96" spans="1:10" x14ac:dyDescent="0.25">
      <c r="A96" t="s">
        <v>11</v>
      </c>
      <c r="B96" s="1">
        <v>45253</v>
      </c>
      <c r="C96" t="s">
        <v>135</v>
      </c>
      <c r="D96" s="14">
        <v>-5.99</v>
      </c>
      <c r="E96" t="s">
        <v>57</v>
      </c>
      <c r="F96" t="str">
        <f>VLOOKUP(Tabela2[[#This Row],[DESCRICAO]],Tabela1[#All],2,0)</f>
        <v>DESPESA</v>
      </c>
      <c r="G96" t="str">
        <f>VLOOKUP(Tabela2[[#This Row],[DESCRICAO]],Tabela1[#All],3,0)</f>
        <v>Saúde</v>
      </c>
      <c r="H96">
        <f>YEAR(Tabela2[[#This Row],[DATA]])</f>
        <v>2023</v>
      </c>
      <c r="I96" t="str">
        <f>INT((MONTH(Tabela2[[#This Row],[DATA]])-1)/3)+1&amp;"° TRI"</f>
        <v>4° TRI</v>
      </c>
      <c r="J96" t="str">
        <f>TEXT(Tabela2[[#This Row],[DATA]],"mmm")</f>
        <v>Nov</v>
      </c>
    </row>
    <row r="97" spans="1:10" x14ac:dyDescent="0.25">
      <c r="A97" t="s">
        <v>11</v>
      </c>
      <c r="B97" s="1">
        <v>45254</v>
      </c>
      <c r="C97" t="s">
        <v>135</v>
      </c>
      <c r="D97" s="14">
        <v>-4.49</v>
      </c>
      <c r="E97" t="s">
        <v>57</v>
      </c>
      <c r="F97" t="str">
        <f>VLOOKUP(Tabela2[[#This Row],[DESCRICAO]],Tabela1[#All],2,0)</f>
        <v>DESPESA</v>
      </c>
      <c r="G97" t="str">
        <f>VLOOKUP(Tabela2[[#This Row],[DESCRICAO]],Tabela1[#All],3,0)</f>
        <v>Saúde</v>
      </c>
      <c r="H97">
        <f>YEAR(Tabela2[[#This Row],[DATA]])</f>
        <v>2023</v>
      </c>
      <c r="I97" t="str">
        <f>INT((MONTH(Tabela2[[#This Row],[DATA]])-1)/3)+1&amp;"° TRI"</f>
        <v>4° TRI</v>
      </c>
      <c r="J97" t="str">
        <f>TEXT(Tabela2[[#This Row],[DATA]],"mmm")</f>
        <v>Nov</v>
      </c>
    </row>
    <row r="98" spans="1:10" x14ac:dyDescent="0.25">
      <c r="A98" t="s">
        <v>11</v>
      </c>
      <c r="B98" s="1">
        <v>45257</v>
      </c>
      <c r="C98" t="s">
        <v>110</v>
      </c>
      <c r="D98" s="14">
        <v>60</v>
      </c>
      <c r="E98" t="s">
        <v>78</v>
      </c>
      <c r="F98" t="str">
        <f>VLOOKUP(Tabela2[[#This Row],[DESCRICAO]],Tabela1[#All],2,0)</f>
        <v>RECEITA</v>
      </c>
      <c r="G98">
        <f>VLOOKUP(Tabela2[[#This Row],[DESCRICAO]],Tabela1[#All],3,0)</f>
        <v>0</v>
      </c>
      <c r="H98">
        <f>YEAR(Tabela2[[#This Row],[DATA]])</f>
        <v>2023</v>
      </c>
      <c r="I98" t="str">
        <f>INT((MONTH(Tabela2[[#This Row],[DATA]])-1)/3)+1&amp;"° TRI"</f>
        <v>4° TRI</v>
      </c>
      <c r="J98" t="str">
        <f>TEXT(Tabela2[[#This Row],[DATA]],"mmm")</f>
        <v>Nov</v>
      </c>
    </row>
    <row r="99" spans="1:10" x14ac:dyDescent="0.25">
      <c r="A99" t="s">
        <v>11</v>
      </c>
      <c r="B99" s="1">
        <v>45257</v>
      </c>
      <c r="C99" t="s">
        <v>73</v>
      </c>
      <c r="D99" s="14">
        <v>-50</v>
      </c>
      <c r="E99" t="s">
        <v>74</v>
      </c>
      <c r="F99" t="str">
        <f>VLOOKUP(Tabela2[[#This Row],[DESCRICAO]],Tabela1[#All],2,0)</f>
        <v>DESPESA</v>
      </c>
      <c r="G99" t="str">
        <f>VLOOKUP(Tabela2[[#This Row],[DESCRICAO]],Tabela1[#All],3,0)</f>
        <v>Serviço Financeiro</v>
      </c>
      <c r="H99">
        <f>YEAR(Tabela2[[#This Row],[DATA]])</f>
        <v>2023</v>
      </c>
      <c r="I99" t="str">
        <f>INT((MONTH(Tabela2[[#This Row],[DATA]])-1)/3)+1&amp;"° TRI"</f>
        <v>4° TRI</v>
      </c>
      <c r="J99" t="str">
        <f>TEXT(Tabela2[[#This Row],[DATA]],"mmm")</f>
        <v>Nov</v>
      </c>
    </row>
    <row r="100" spans="1:10" x14ac:dyDescent="0.25">
      <c r="A100" t="s">
        <v>11</v>
      </c>
      <c r="B100" s="1">
        <v>45257</v>
      </c>
      <c r="C100" t="s">
        <v>76</v>
      </c>
      <c r="D100" s="14">
        <v>-6</v>
      </c>
      <c r="E100" t="s">
        <v>83</v>
      </c>
      <c r="F100" t="str">
        <f>VLOOKUP(Tabela2[[#This Row],[DESCRICAO]],Tabela1[#All],2,0)</f>
        <v>DESPESA</v>
      </c>
      <c r="G100" t="str">
        <f>VLOOKUP(Tabela2[[#This Row],[DESCRICAO]],Tabela1[#All],3,0)</f>
        <v>Alimentação</v>
      </c>
      <c r="H100">
        <f>YEAR(Tabela2[[#This Row],[DATA]])</f>
        <v>2023</v>
      </c>
      <c r="I100" t="str">
        <f>INT((MONTH(Tabela2[[#This Row],[DATA]])-1)/3)+1&amp;"° TRI"</f>
        <v>4° TRI</v>
      </c>
      <c r="J100" t="str">
        <f>TEXT(Tabela2[[#This Row],[DATA]],"mmm")</f>
        <v>Nov</v>
      </c>
    </row>
    <row r="101" spans="1:10" x14ac:dyDescent="0.25">
      <c r="A101" t="s">
        <v>11</v>
      </c>
      <c r="B101" s="1">
        <v>45257</v>
      </c>
      <c r="C101" t="s">
        <v>110</v>
      </c>
      <c r="D101" s="14">
        <v>20</v>
      </c>
      <c r="E101" t="s">
        <v>78</v>
      </c>
      <c r="F101" t="str">
        <f>VLOOKUP(Tabela2[[#This Row],[DESCRICAO]],Tabela1[#All],2,0)</f>
        <v>RECEITA</v>
      </c>
      <c r="G101">
        <f>VLOOKUP(Tabela2[[#This Row],[DESCRICAO]],Tabela1[#All],3,0)</f>
        <v>0</v>
      </c>
      <c r="H101">
        <f>YEAR(Tabela2[[#This Row],[DATA]])</f>
        <v>2023</v>
      </c>
      <c r="I101" t="str">
        <f>INT((MONTH(Tabela2[[#This Row],[DATA]])-1)/3)+1&amp;"° TRI"</f>
        <v>4° TRI</v>
      </c>
      <c r="J101" t="str">
        <f>TEXT(Tabela2[[#This Row],[DATA]],"mmm")</f>
        <v>Nov</v>
      </c>
    </row>
    <row r="102" spans="1:10" x14ac:dyDescent="0.25">
      <c r="A102" t="s">
        <v>11</v>
      </c>
      <c r="B102" s="1">
        <v>45257</v>
      </c>
      <c r="C102" t="s">
        <v>134</v>
      </c>
      <c r="D102" s="14">
        <v>-25</v>
      </c>
      <c r="E102" t="s">
        <v>53</v>
      </c>
      <c r="F102" t="str">
        <f>VLOOKUP(Tabela2[[#This Row],[DESCRICAO]],Tabela1[#All],2,0)</f>
        <v>DESPESA</v>
      </c>
      <c r="G102" t="str">
        <f>VLOOKUP(Tabela2[[#This Row],[DESCRICAO]],Tabela1[#All],3,0)</f>
        <v>Pessoal</v>
      </c>
      <c r="H102">
        <f>YEAR(Tabela2[[#This Row],[DATA]])</f>
        <v>2023</v>
      </c>
      <c r="I102" t="str">
        <f>INT((MONTH(Tabela2[[#This Row],[DATA]])-1)/3)+1&amp;"° TRI"</f>
        <v>4° TRI</v>
      </c>
      <c r="J102" t="str">
        <f>TEXT(Tabela2[[#This Row],[DATA]],"mmm")</f>
        <v>Nov</v>
      </c>
    </row>
    <row r="103" spans="1:10" x14ac:dyDescent="0.25">
      <c r="A103" t="s">
        <v>11</v>
      </c>
      <c r="B103" s="1">
        <v>45258</v>
      </c>
      <c r="C103" t="s">
        <v>146</v>
      </c>
      <c r="D103" s="14">
        <v>-2.5</v>
      </c>
      <c r="E103" t="s">
        <v>83</v>
      </c>
      <c r="F103" t="str">
        <f>VLOOKUP(Tabela2[[#This Row],[DESCRICAO]],Tabela1[#All],2,0)</f>
        <v>DESPESA</v>
      </c>
      <c r="G103" t="str">
        <f>VLOOKUP(Tabela2[[#This Row],[DESCRICAO]],Tabela1[#All],3,0)</f>
        <v>Alimentação</v>
      </c>
      <c r="H103">
        <f>YEAR(Tabela2[[#This Row],[DATA]])</f>
        <v>2023</v>
      </c>
      <c r="I103" t="str">
        <f>INT((MONTH(Tabela2[[#This Row],[DATA]])-1)/3)+1&amp;"° TRI"</f>
        <v>4° TRI</v>
      </c>
      <c r="J103" t="str">
        <f>TEXT(Tabela2[[#This Row],[DATA]],"mmm")</f>
        <v>Nov</v>
      </c>
    </row>
    <row r="104" spans="1:10" x14ac:dyDescent="0.25">
      <c r="A104" t="s">
        <v>11</v>
      </c>
      <c r="B104" s="1">
        <v>45260</v>
      </c>
      <c r="C104" t="s">
        <v>51</v>
      </c>
      <c r="D104" s="14">
        <v>536</v>
      </c>
      <c r="E104" t="s">
        <v>12</v>
      </c>
      <c r="F104" t="str">
        <f>VLOOKUP(Tabela2[[#This Row],[DESCRICAO]],Tabela1[#All],2,0)</f>
        <v>RECEITA</v>
      </c>
      <c r="G104">
        <f>VLOOKUP(Tabela2[[#This Row],[DESCRICAO]],Tabela1[#All],3,0)</f>
        <v>0</v>
      </c>
      <c r="H104">
        <f>YEAR(Tabela2[[#This Row],[DATA]])</f>
        <v>2023</v>
      </c>
      <c r="I104" t="str">
        <f>INT((MONTH(Tabela2[[#This Row],[DATA]])-1)/3)+1&amp;"° TRI"</f>
        <v>4° TRI</v>
      </c>
      <c r="J104" t="str">
        <f>TEXT(Tabela2[[#This Row],[DATA]],"mmm")</f>
        <v>Nov</v>
      </c>
    </row>
    <row r="105" spans="1:10" x14ac:dyDescent="0.25">
      <c r="A105" t="s">
        <v>11</v>
      </c>
      <c r="B105" s="1">
        <v>45261</v>
      </c>
      <c r="C105" t="s">
        <v>47</v>
      </c>
      <c r="D105" s="14">
        <v>-12</v>
      </c>
      <c r="E105" t="s">
        <v>83</v>
      </c>
      <c r="F105" t="str">
        <f>VLOOKUP(Tabela2[[#This Row],[DESCRICAO]],Tabela1[#All],2,0)</f>
        <v>DESPESA</v>
      </c>
      <c r="G105" t="str">
        <f>VLOOKUP(Tabela2[[#This Row],[DESCRICAO]],Tabela1[#All],3,0)</f>
        <v>Alimentação</v>
      </c>
      <c r="H105">
        <f>YEAR(Tabela2[[#This Row],[DATA]])</f>
        <v>2023</v>
      </c>
      <c r="I105" t="str">
        <f>INT((MONTH(Tabela2[[#This Row],[DATA]])-1)/3)+1&amp;"° TRI"</f>
        <v>4° TRI</v>
      </c>
      <c r="J105" t="str">
        <f>TEXT(Tabela2[[#This Row],[DATA]],"mmm")</f>
        <v>Dec</v>
      </c>
    </row>
    <row r="106" spans="1:10" x14ac:dyDescent="0.25">
      <c r="A106" t="s">
        <v>11</v>
      </c>
      <c r="B106" s="1">
        <v>45264</v>
      </c>
      <c r="C106" t="s">
        <v>147</v>
      </c>
      <c r="D106" s="14">
        <v>-52</v>
      </c>
      <c r="E106" t="s">
        <v>59</v>
      </c>
      <c r="F106" t="str">
        <f>VLOOKUP(Tabela2[[#This Row],[DESCRICAO]],Tabela1[#All],2,0)</f>
        <v>DESPESA</v>
      </c>
      <c r="G106" t="str">
        <f>VLOOKUP(Tabela2[[#This Row],[DESCRICAO]],Tabela1[#All],3,0)</f>
        <v>Lazer</v>
      </c>
      <c r="H106">
        <f>YEAR(Tabela2[[#This Row],[DATA]])</f>
        <v>2023</v>
      </c>
      <c r="I106" t="str">
        <f>INT((MONTH(Tabela2[[#This Row],[DATA]])-1)/3)+1&amp;"° TRI"</f>
        <v>4° TRI</v>
      </c>
      <c r="J106" t="str">
        <f>TEXT(Tabela2[[#This Row],[DATA]],"mmm")</f>
        <v>Dec</v>
      </c>
    </row>
    <row r="107" spans="1:10" x14ac:dyDescent="0.25">
      <c r="A107" t="s">
        <v>11</v>
      </c>
      <c r="B107" s="1">
        <v>45264</v>
      </c>
      <c r="C107" t="s">
        <v>148</v>
      </c>
      <c r="D107" s="14">
        <v>-18</v>
      </c>
      <c r="E107" t="s">
        <v>83</v>
      </c>
      <c r="F107" t="str">
        <f>VLOOKUP(Tabela2[[#This Row],[DESCRICAO]],Tabela1[#All],2,0)</f>
        <v>DESPESA</v>
      </c>
      <c r="G107" t="str">
        <f>VLOOKUP(Tabela2[[#This Row],[DESCRICAO]],Tabela1[#All],3,0)</f>
        <v>Alimentação</v>
      </c>
      <c r="H107">
        <f>YEAR(Tabela2[[#This Row],[DATA]])</f>
        <v>2023</v>
      </c>
      <c r="I107" t="str">
        <f>INT((MONTH(Tabela2[[#This Row],[DATA]])-1)/3)+1&amp;"° TRI"</f>
        <v>4° TRI</v>
      </c>
      <c r="J107" t="str">
        <f>TEXT(Tabela2[[#This Row],[DATA]],"mmm")</f>
        <v>Dec</v>
      </c>
    </row>
    <row r="108" spans="1:10" x14ac:dyDescent="0.25">
      <c r="A108" t="s">
        <v>11</v>
      </c>
      <c r="B108" s="1">
        <v>45265</v>
      </c>
      <c r="C108" t="s">
        <v>121</v>
      </c>
      <c r="D108" s="14">
        <v>-9</v>
      </c>
      <c r="E108" t="s">
        <v>83</v>
      </c>
      <c r="F108" t="str">
        <f>VLOOKUP(Tabela2[[#This Row],[DESCRICAO]],Tabela1[#All],2,0)</f>
        <v>DESPESA</v>
      </c>
      <c r="G108" t="str">
        <f>VLOOKUP(Tabela2[[#This Row],[DESCRICAO]],Tabela1[#All],3,0)</f>
        <v>Alimentação</v>
      </c>
      <c r="H108">
        <f>YEAR(Tabela2[[#This Row],[DATA]])</f>
        <v>2023</v>
      </c>
      <c r="I108" t="str">
        <f>INT((MONTH(Tabela2[[#This Row],[DATA]])-1)/3)+1&amp;"° TRI"</f>
        <v>4° TRI</v>
      </c>
      <c r="J108" t="str">
        <f>TEXT(Tabela2[[#This Row],[DATA]],"mmm")</f>
        <v>Dec</v>
      </c>
    </row>
    <row r="109" spans="1:10" x14ac:dyDescent="0.25">
      <c r="A109" t="s">
        <v>11</v>
      </c>
      <c r="B109" s="1">
        <v>45266</v>
      </c>
      <c r="C109" t="s">
        <v>137</v>
      </c>
      <c r="D109" s="14">
        <v>-10</v>
      </c>
      <c r="E109" t="s">
        <v>50</v>
      </c>
      <c r="F109" t="str">
        <f>VLOOKUP(Tabela2[[#This Row],[DESCRICAO]],Tabela1[#All],2,0)</f>
        <v>DESPESA</v>
      </c>
      <c r="G109" t="str">
        <f>VLOOKUP(Tabela2[[#This Row],[DESCRICAO]],Tabela1[#All],3,0)</f>
        <v>Pessoal</v>
      </c>
      <c r="H109">
        <f>YEAR(Tabela2[[#This Row],[DATA]])</f>
        <v>2023</v>
      </c>
      <c r="I109" t="str">
        <f>INT((MONTH(Tabela2[[#This Row],[DATA]])-1)/3)+1&amp;"° TRI"</f>
        <v>4° TRI</v>
      </c>
      <c r="J109" t="str">
        <f>TEXT(Tabela2[[#This Row],[DATA]],"mmm")</f>
        <v>Dec</v>
      </c>
    </row>
    <row r="110" spans="1:10" x14ac:dyDescent="0.25">
      <c r="A110" t="s">
        <v>11</v>
      </c>
      <c r="B110" s="1">
        <v>45266</v>
      </c>
      <c r="C110" t="s">
        <v>121</v>
      </c>
      <c r="D110" s="14">
        <v>-10</v>
      </c>
      <c r="E110" t="s">
        <v>83</v>
      </c>
      <c r="F110" t="str">
        <f>VLOOKUP(Tabela2[[#This Row],[DESCRICAO]],Tabela1[#All],2,0)</f>
        <v>DESPESA</v>
      </c>
      <c r="G110" t="str">
        <f>VLOOKUP(Tabela2[[#This Row],[DESCRICAO]],Tabela1[#All],3,0)</f>
        <v>Alimentação</v>
      </c>
      <c r="H110">
        <f>YEAR(Tabela2[[#This Row],[DATA]])</f>
        <v>2023</v>
      </c>
      <c r="I110" t="str">
        <f>INT((MONTH(Tabela2[[#This Row],[DATA]])-1)/3)+1&amp;"° TRI"</f>
        <v>4° TRI</v>
      </c>
      <c r="J110" t="str">
        <f>TEXT(Tabela2[[#This Row],[DATA]],"mmm")</f>
        <v>Dec</v>
      </c>
    </row>
    <row r="111" spans="1:10" x14ac:dyDescent="0.25">
      <c r="A111" t="s">
        <v>11</v>
      </c>
      <c r="B111" s="1">
        <v>45266</v>
      </c>
      <c r="C111" t="s">
        <v>51</v>
      </c>
      <c r="D111" s="14">
        <v>855.25</v>
      </c>
      <c r="E111" t="s">
        <v>12</v>
      </c>
      <c r="F111" t="str">
        <f>VLOOKUP(Tabela2[[#This Row],[DESCRICAO]],Tabela1[#All],2,0)</f>
        <v>RECEITA</v>
      </c>
      <c r="G111">
        <f>VLOOKUP(Tabela2[[#This Row],[DESCRICAO]],Tabela1[#All],3,0)</f>
        <v>0</v>
      </c>
      <c r="H111">
        <f>YEAR(Tabela2[[#This Row],[DATA]])</f>
        <v>2023</v>
      </c>
      <c r="I111" t="str">
        <f>INT((MONTH(Tabela2[[#This Row],[DATA]])-1)/3)+1&amp;"° TRI"</f>
        <v>4° TRI</v>
      </c>
      <c r="J111" t="str">
        <f>TEXT(Tabela2[[#This Row],[DATA]],"mmm")</f>
        <v>Dec</v>
      </c>
    </row>
    <row r="112" spans="1:10" x14ac:dyDescent="0.25">
      <c r="A112" t="s">
        <v>11</v>
      </c>
      <c r="B112" s="1">
        <v>45266</v>
      </c>
      <c r="C112" t="s">
        <v>149</v>
      </c>
      <c r="D112" s="14">
        <v>-6</v>
      </c>
      <c r="E112" t="s">
        <v>50</v>
      </c>
      <c r="F112" t="str">
        <f>VLOOKUP(Tabela2[[#This Row],[DESCRICAO]],Tabela1[#All],2,0)</f>
        <v>DESPESA</v>
      </c>
      <c r="G112" t="str">
        <f>VLOOKUP(Tabela2[[#This Row],[DESCRICAO]],Tabela1[#All],3,0)</f>
        <v>Pessoal</v>
      </c>
      <c r="H112">
        <f>YEAR(Tabela2[[#This Row],[DATA]])</f>
        <v>2023</v>
      </c>
      <c r="I112" t="str">
        <f>INT((MONTH(Tabela2[[#This Row],[DATA]])-1)/3)+1&amp;"° TRI"</f>
        <v>4° TRI</v>
      </c>
      <c r="J112" t="str">
        <f>TEXT(Tabela2[[#This Row],[DATA]],"mmm")</f>
        <v>Dec</v>
      </c>
    </row>
    <row r="113" spans="1:10" x14ac:dyDescent="0.25">
      <c r="A113" t="s">
        <v>11</v>
      </c>
      <c r="B113" s="1">
        <v>45267</v>
      </c>
      <c r="C113" t="s">
        <v>136</v>
      </c>
      <c r="D113" s="14">
        <v>-434.59</v>
      </c>
      <c r="E113" t="s">
        <v>79</v>
      </c>
      <c r="F113" t="str">
        <f>VLOOKUP(Tabela2[[#This Row],[DESCRICAO]],Tabela1[#All],2,0)</f>
        <v>DESPESA</v>
      </c>
      <c r="G113" t="str">
        <f>VLOOKUP(Tabela2[[#This Row],[DESCRICAO]],Tabela1[#All],3,0)</f>
        <v>Serviço Financeiro</v>
      </c>
      <c r="H113">
        <f>YEAR(Tabela2[[#This Row],[DATA]])</f>
        <v>2023</v>
      </c>
      <c r="I113" t="str">
        <f>INT((MONTH(Tabela2[[#This Row],[DATA]])-1)/3)+1&amp;"° TRI"</f>
        <v>4° TRI</v>
      </c>
      <c r="J113" t="str">
        <f>TEXT(Tabela2[[#This Row],[DATA]],"mmm")</f>
        <v>Dec</v>
      </c>
    </row>
    <row r="114" spans="1:10" x14ac:dyDescent="0.25">
      <c r="A114" t="s">
        <v>11</v>
      </c>
      <c r="B114" s="1">
        <v>45267</v>
      </c>
      <c r="C114" t="s">
        <v>121</v>
      </c>
      <c r="D114" s="14">
        <v>-9</v>
      </c>
      <c r="E114" t="s">
        <v>83</v>
      </c>
      <c r="F114" t="str">
        <f>VLOOKUP(Tabela2[[#This Row],[DESCRICAO]],Tabela1[#All],2,0)</f>
        <v>DESPESA</v>
      </c>
      <c r="G114" t="str">
        <f>VLOOKUP(Tabela2[[#This Row],[DESCRICAO]],Tabela1[#All],3,0)</f>
        <v>Alimentação</v>
      </c>
      <c r="H114">
        <f>YEAR(Tabela2[[#This Row],[DATA]])</f>
        <v>2023</v>
      </c>
      <c r="I114" t="str">
        <f>INT((MONTH(Tabela2[[#This Row],[DATA]])-1)/3)+1&amp;"° TRI"</f>
        <v>4° TRI</v>
      </c>
      <c r="J114" t="str">
        <f>TEXT(Tabela2[[#This Row],[DATA]],"mmm")</f>
        <v>Dec</v>
      </c>
    </row>
    <row r="115" spans="1:10" x14ac:dyDescent="0.25">
      <c r="A115" t="s">
        <v>11</v>
      </c>
      <c r="B115" s="1">
        <v>45268</v>
      </c>
      <c r="C115" t="s">
        <v>121</v>
      </c>
      <c r="D115" s="14">
        <v>-7</v>
      </c>
      <c r="E115" t="s">
        <v>83</v>
      </c>
      <c r="F115" t="str">
        <f>VLOOKUP(Tabela2[[#This Row],[DESCRICAO]],Tabela1[#All],2,0)</f>
        <v>DESPESA</v>
      </c>
      <c r="G115" t="str">
        <f>VLOOKUP(Tabela2[[#This Row],[DESCRICAO]],Tabela1[#All],3,0)</f>
        <v>Alimentação</v>
      </c>
      <c r="H115">
        <f>YEAR(Tabela2[[#This Row],[DATA]])</f>
        <v>2023</v>
      </c>
      <c r="I115" t="str">
        <f>INT((MONTH(Tabela2[[#This Row],[DATA]])-1)/3)+1&amp;"° TRI"</f>
        <v>4° TRI</v>
      </c>
      <c r="J115" t="str">
        <f>TEXT(Tabela2[[#This Row],[DATA]],"mmm")</f>
        <v>Dec</v>
      </c>
    </row>
    <row r="116" spans="1:10" x14ac:dyDescent="0.25">
      <c r="A116" t="s">
        <v>11</v>
      </c>
      <c r="B116" s="1">
        <v>45268</v>
      </c>
      <c r="C116" t="s">
        <v>121</v>
      </c>
      <c r="D116" s="14">
        <v>-9</v>
      </c>
      <c r="E116" t="s">
        <v>83</v>
      </c>
      <c r="F116" t="str">
        <f>VLOOKUP(Tabela2[[#This Row],[DESCRICAO]],Tabela1[#All],2,0)</f>
        <v>DESPESA</v>
      </c>
      <c r="G116" t="str">
        <f>VLOOKUP(Tabela2[[#This Row],[DESCRICAO]],Tabela1[#All],3,0)</f>
        <v>Alimentação</v>
      </c>
      <c r="H116">
        <f>YEAR(Tabela2[[#This Row],[DATA]])</f>
        <v>2023</v>
      </c>
      <c r="I116" t="str">
        <f>INT((MONTH(Tabela2[[#This Row],[DATA]])-1)/3)+1&amp;"° TRI"</f>
        <v>4° TRI</v>
      </c>
      <c r="J116" t="str">
        <f>TEXT(Tabela2[[#This Row],[DATA]],"mmm")</f>
        <v>Dec</v>
      </c>
    </row>
    <row r="117" spans="1:10" x14ac:dyDescent="0.25">
      <c r="A117" t="s">
        <v>11</v>
      </c>
      <c r="B117" s="1">
        <v>45271</v>
      </c>
      <c r="C117" t="s">
        <v>141</v>
      </c>
      <c r="D117" s="14">
        <v>-50</v>
      </c>
      <c r="E117" t="s">
        <v>3</v>
      </c>
      <c r="F117" t="str">
        <f>VLOOKUP(Tabela2[[#This Row],[DESCRICAO]],Tabela1[#All],2,0)</f>
        <v>DESPESA</v>
      </c>
      <c r="G117" t="str">
        <f>VLOOKUP(Tabela2[[#This Row],[DESCRICAO]],Tabela1[#All],3,0)</f>
        <v>Transporte</v>
      </c>
      <c r="H117">
        <f>YEAR(Tabela2[[#This Row],[DATA]])</f>
        <v>2023</v>
      </c>
      <c r="I117" t="str">
        <f>INT((MONTH(Tabela2[[#This Row],[DATA]])-1)/3)+1&amp;"° TRI"</f>
        <v>4° TRI</v>
      </c>
      <c r="J117" t="str">
        <f>TEXT(Tabela2[[#This Row],[DATA]],"mmm")</f>
        <v>Dec</v>
      </c>
    </row>
    <row r="118" spans="1:10" x14ac:dyDescent="0.25">
      <c r="A118" t="s">
        <v>11</v>
      </c>
      <c r="B118" s="1">
        <v>45271</v>
      </c>
      <c r="C118" t="s">
        <v>134</v>
      </c>
      <c r="D118" s="14">
        <v>-25</v>
      </c>
      <c r="E118" t="s">
        <v>53</v>
      </c>
      <c r="F118" t="str">
        <f>VLOOKUP(Tabela2[[#This Row],[DESCRICAO]],Tabela1[#All],2,0)</f>
        <v>DESPESA</v>
      </c>
      <c r="G118" t="str">
        <f>VLOOKUP(Tabela2[[#This Row],[DESCRICAO]],Tabela1[#All],3,0)</f>
        <v>Pessoal</v>
      </c>
      <c r="H118">
        <f>YEAR(Tabela2[[#This Row],[DATA]])</f>
        <v>2023</v>
      </c>
      <c r="I118" t="str">
        <f>INT((MONTH(Tabela2[[#This Row],[DATA]])-1)/3)+1&amp;"° TRI"</f>
        <v>4° TRI</v>
      </c>
      <c r="J118" t="str">
        <f>TEXT(Tabela2[[#This Row],[DATA]],"mmm")</f>
        <v>Dec</v>
      </c>
    </row>
    <row r="119" spans="1:10" x14ac:dyDescent="0.25">
      <c r="A119" t="s">
        <v>11</v>
      </c>
      <c r="B119" s="1">
        <v>45273</v>
      </c>
      <c r="C119" t="s">
        <v>109</v>
      </c>
      <c r="D119" s="14">
        <v>-707.7</v>
      </c>
      <c r="E119" t="s">
        <v>13</v>
      </c>
      <c r="F119" t="str">
        <f>VLOOKUP(Tabela2[[#This Row],[DESCRICAO]],Tabela1[#All],2,0)</f>
        <v>DESPESA</v>
      </c>
      <c r="G119" t="str">
        <f>VLOOKUP(Tabela2[[#This Row],[DESCRICAO]],Tabela1[#All],3,0)</f>
        <v>Serviço Financeiro</v>
      </c>
      <c r="H119">
        <f>YEAR(Tabela2[[#This Row],[DATA]])</f>
        <v>2023</v>
      </c>
      <c r="I119" t="str">
        <f>INT((MONTH(Tabela2[[#This Row],[DATA]])-1)/3)+1&amp;"° TRI"</f>
        <v>4° TRI</v>
      </c>
      <c r="J119" t="str">
        <f>TEXT(Tabela2[[#This Row],[DATA]],"mmm")</f>
        <v>Dec</v>
      </c>
    </row>
    <row r="120" spans="1:10" x14ac:dyDescent="0.25">
      <c r="A120" t="s">
        <v>11</v>
      </c>
      <c r="B120" s="1">
        <v>45278</v>
      </c>
      <c r="C120" t="s">
        <v>150</v>
      </c>
      <c r="D120" s="14">
        <v>500</v>
      </c>
      <c r="E120" t="s">
        <v>78</v>
      </c>
      <c r="F120" t="str">
        <f>VLOOKUP(Tabela2[[#This Row],[DESCRICAO]],Tabela1[#All],2,0)</f>
        <v>RECEITA</v>
      </c>
      <c r="G120">
        <f>VLOOKUP(Tabela2[[#This Row],[DESCRICAO]],Tabela1[#All],3,0)</f>
        <v>0</v>
      </c>
      <c r="H120">
        <f>YEAR(Tabela2[[#This Row],[DATA]])</f>
        <v>2023</v>
      </c>
      <c r="I120" t="str">
        <f>INT((MONTH(Tabela2[[#This Row],[DATA]])-1)/3)+1&amp;"° TRI"</f>
        <v>4° TRI</v>
      </c>
      <c r="J120" t="str">
        <f>TEXT(Tabela2[[#This Row],[DATA]],"mmm")</f>
        <v>Dec</v>
      </c>
    </row>
    <row r="121" spans="1:10" x14ac:dyDescent="0.25">
      <c r="A121" t="s">
        <v>11</v>
      </c>
      <c r="B121" s="1">
        <v>45278</v>
      </c>
      <c r="C121" t="s">
        <v>121</v>
      </c>
      <c r="D121" s="14">
        <v>-8</v>
      </c>
      <c r="E121" t="s">
        <v>83</v>
      </c>
      <c r="F121" t="str">
        <f>VLOOKUP(Tabela2[[#This Row],[DESCRICAO]],Tabela1[#All],2,0)</f>
        <v>DESPESA</v>
      </c>
      <c r="G121" t="str">
        <f>VLOOKUP(Tabela2[[#This Row],[DESCRICAO]],Tabela1[#All],3,0)</f>
        <v>Alimentação</v>
      </c>
      <c r="H121">
        <f>YEAR(Tabela2[[#This Row],[DATA]])</f>
        <v>2023</v>
      </c>
      <c r="I121" t="str">
        <f>INT((MONTH(Tabela2[[#This Row],[DATA]])-1)/3)+1&amp;"° TRI"</f>
        <v>4° TRI</v>
      </c>
      <c r="J121" t="str">
        <f>TEXT(Tabela2[[#This Row],[DATA]],"mmm")</f>
        <v>Dec</v>
      </c>
    </row>
    <row r="122" spans="1:10" x14ac:dyDescent="0.25">
      <c r="A122" t="s">
        <v>11</v>
      </c>
      <c r="B122" s="1">
        <v>45278</v>
      </c>
      <c r="C122" t="s">
        <v>121</v>
      </c>
      <c r="D122" s="14">
        <v>-9</v>
      </c>
      <c r="E122" t="s">
        <v>83</v>
      </c>
      <c r="F122" t="str">
        <f>VLOOKUP(Tabela2[[#This Row],[DESCRICAO]],Tabela1[#All],2,0)</f>
        <v>DESPESA</v>
      </c>
      <c r="G122" t="str">
        <f>VLOOKUP(Tabela2[[#This Row],[DESCRICAO]],Tabela1[#All],3,0)</f>
        <v>Alimentação</v>
      </c>
      <c r="H122">
        <f>YEAR(Tabela2[[#This Row],[DATA]])</f>
        <v>2023</v>
      </c>
      <c r="I122" t="str">
        <f>INT((MONTH(Tabela2[[#This Row],[DATA]])-1)/3)+1&amp;"° TRI"</f>
        <v>4° TRI</v>
      </c>
      <c r="J122" t="str">
        <f>TEXT(Tabela2[[#This Row],[DATA]],"mmm")</f>
        <v>Dec</v>
      </c>
    </row>
    <row r="123" spans="1:10" x14ac:dyDescent="0.25">
      <c r="A123" t="s">
        <v>11</v>
      </c>
      <c r="B123" s="1">
        <v>45278</v>
      </c>
      <c r="C123" t="s">
        <v>135</v>
      </c>
      <c r="D123" s="14">
        <v>-71.69</v>
      </c>
      <c r="E123" t="s">
        <v>57</v>
      </c>
      <c r="F123" t="str">
        <f>VLOOKUP(Tabela2[[#This Row],[DESCRICAO]],Tabela1[#All],2,0)</f>
        <v>DESPESA</v>
      </c>
      <c r="G123" t="str">
        <f>VLOOKUP(Tabela2[[#This Row],[DESCRICAO]],Tabela1[#All],3,0)</f>
        <v>Saúde</v>
      </c>
      <c r="H123">
        <f>YEAR(Tabela2[[#This Row],[DATA]])</f>
        <v>2023</v>
      </c>
      <c r="I123" t="str">
        <f>INT((MONTH(Tabela2[[#This Row],[DATA]])-1)/3)+1&amp;"° TRI"</f>
        <v>4° TRI</v>
      </c>
      <c r="J123" t="str">
        <f>TEXT(Tabela2[[#This Row],[DATA]],"mmm")</f>
        <v>Dec</v>
      </c>
    </row>
    <row r="124" spans="1:10" x14ac:dyDescent="0.25">
      <c r="A124" t="s">
        <v>11</v>
      </c>
      <c r="B124" s="1">
        <v>45279</v>
      </c>
      <c r="C124" t="s">
        <v>121</v>
      </c>
      <c r="D124" s="14">
        <v>-11.5</v>
      </c>
      <c r="E124" t="s">
        <v>83</v>
      </c>
      <c r="F124" t="str">
        <f>VLOOKUP(Tabela2[[#This Row],[DESCRICAO]],Tabela1[#All],2,0)</f>
        <v>DESPESA</v>
      </c>
      <c r="G124" t="str">
        <f>VLOOKUP(Tabela2[[#This Row],[DESCRICAO]],Tabela1[#All],3,0)</f>
        <v>Alimentação</v>
      </c>
      <c r="H124">
        <f>YEAR(Tabela2[[#This Row],[DATA]])</f>
        <v>2023</v>
      </c>
      <c r="I124" t="str">
        <f>INT((MONTH(Tabela2[[#This Row],[DATA]])-1)/3)+1&amp;"° TRI"</f>
        <v>4° TRI</v>
      </c>
      <c r="J124" t="str">
        <f>TEXT(Tabela2[[#This Row],[DATA]],"mmm")</f>
        <v>Dec</v>
      </c>
    </row>
    <row r="125" spans="1:10" x14ac:dyDescent="0.25">
      <c r="A125" t="s">
        <v>11</v>
      </c>
      <c r="B125" s="1">
        <v>45279</v>
      </c>
      <c r="C125" t="s">
        <v>47</v>
      </c>
      <c r="D125" s="14">
        <v>-2.5</v>
      </c>
      <c r="E125" t="s">
        <v>83</v>
      </c>
      <c r="F125" t="str">
        <f>VLOOKUP(Tabela2[[#This Row],[DESCRICAO]],Tabela1[#All],2,0)</f>
        <v>DESPESA</v>
      </c>
      <c r="G125" t="str">
        <f>VLOOKUP(Tabela2[[#This Row],[DESCRICAO]],Tabela1[#All],3,0)</f>
        <v>Alimentação</v>
      </c>
      <c r="H125">
        <f>YEAR(Tabela2[[#This Row],[DATA]])</f>
        <v>2023</v>
      </c>
      <c r="I125" t="str">
        <f>INT((MONTH(Tabela2[[#This Row],[DATA]])-1)/3)+1&amp;"° TRI"</f>
        <v>4° TRI</v>
      </c>
      <c r="J125" t="str">
        <f>TEXT(Tabela2[[#This Row],[DATA]],"mmm")</f>
        <v>Dec</v>
      </c>
    </row>
    <row r="126" spans="1:10" x14ac:dyDescent="0.25">
      <c r="A126" t="s">
        <v>11</v>
      </c>
      <c r="B126" s="1">
        <v>45279</v>
      </c>
      <c r="C126" t="s">
        <v>109</v>
      </c>
      <c r="D126" s="14">
        <v>-49.9</v>
      </c>
      <c r="E126" t="s">
        <v>154</v>
      </c>
      <c r="F126" t="str">
        <f>VLOOKUP(Tabela2[[#This Row],[DESCRICAO]],Tabela1[#All],2,0)</f>
        <v>DESPESA</v>
      </c>
      <c r="G126" t="str">
        <f>VLOOKUP(Tabela2[[#This Row],[DESCRICAO]],Tabela1[#All],3,0)</f>
        <v xml:space="preserve">Estudos </v>
      </c>
      <c r="H126">
        <f>YEAR(Tabela2[[#This Row],[DATA]])</f>
        <v>2023</v>
      </c>
      <c r="I126" t="str">
        <f>INT((MONTH(Tabela2[[#This Row],[DATA]])-1)/3)+1&amp;"° TRI"</f>
        <v>4° TRI</v>
      </c>
      <c r="J126" t="str">
        <f>TEXT(Tabela2[[#This Row],[DATA]],"mmm")</f>
        <v>Dec</v>
      </c>
    </row>
    <row r="127" spans="1:10" x14ac:dyDescent="0.25">
      <c r="A127" t="s">
        <v>11</v>
      </c>
      <c r="B127" s="1">
        <v>45280</v>
      </c>
      <c r="C127" t="s">
        <v>51</v>
      </c>
      <c r="D127" s="14">
        <v>569.25</v>
      </c>
      <c r="E127" t="s">
        <v>12</v>
      </c>
      <c r="F127" t="str">
        <f>VLOOKUP(Tabela2[[#This Row],[DESCRICAO]],Tabela1[#All],2,0)</f>
        <v>RECEITA</v>
      </c>
      <c r="G127">
        <f>VLOOKUP(Tabela2[[#This Row],[DESCRICAO]],Tabela1[#All],3,0)</f>
        <v>0</v>
      </c>
      <c r="H127">
        <f>YEAR(Tabela2[[#This Row],[DATA]])</f>
        <v>2023</v>
      </c>
      <c r="I127" t="str">
        <f>INT((MONTH(Tabela2[[#This Row],[DATA]])-1)/3)+1&amp;"° TRI"</f>
        <v>4° TRI</v>
      </c>
      <c r="J127" t="str">
        <f>TEXT(Tabela2[[#This Row],[DATA]],"mmm")</f>
        <v>Dec</v>
      </c>
    </row>
    <row r="128" spans="1:10" x14ac:dyDescent="0.25">
      <c r="A128" t="s">
        <v>11</v>
      </c>
      <c r="B128" s="1">
        <v>45280</v>
      </c>
      <c r="C128" t="s">
        <v>121</v>
      </c>
      <c r="D128" s="14">
        <v>-7</v>
      </c>
      <c r="E128" t="s">
        <v>83</v>
      </c>
      <c r="F128" t="str">
        <f>VLOOKUP(Tabela2[[#This Row],[DESCRICAO]],Tabela1[#All],2,0)</f>
        <v>DESPESA</v>
      </c>
      <c r="G128" t="str">
        <f>VLOOKUP(Tabela2[[#This Row],[DESCRICAO]],Tabela1[#All],3,0)</f>
        <v>Alimentação</v>
      </c>
      <c r="H128">
        <f>YEAR(Tabela2[[#This Row],[DATA]])</f>
        <v>2023</v>
      </c>
      <c r="I128" t="str">
        <f>INT((MONTH(Tabela2[[#This Row],[DATA]])-1)/3)+1&amp;"° TRI"</f>
        <v>4° TRI</v>
      </c>
      <c r="J128" t="str">
        <f>TEXT(Tabela2[[#This Row],[DATA]],"mmm")</f>
        <v>Dec</v>
      </c>
    </row>
    <row r="129" spans="1:10" x14ac:dyDescent="0.25">
      <c r="A129" t="s">
        <v>11</v>
      </c>
      <c r="B129" s="1">
        <v>45282</v>
      </c>
      <c r="C129" t="s">
        <v>121</v>
      </c>
      <c r="D129" s="14">
        <v>-12</v>
      </c>
      <c r="E129" t="s">
        <v>83</v>
      </c>
      <c r="F129" t="str">
        <f>VLOOKUP(Tabela2[[#This Row],[DESCRICAO]],Tabela1[#All],2,0)</f>
        <v>DESPESA</v>
      </c>
      <c r="G129" t="str">
        <f>VLOOKUP(Tabela2[[#This Row],[DESCRICAO]],Tabela1[#All],3,0)</f>
        <v>Alimentação</v>
      </c>
      <c r="H129">
        <f>YEAR(Tabela2[[#This Row],[DATA]])</f>
        <v>2023</v>
      </c>
      <c r="I129" t="str">
        <f>INT((MONTH(Tabela2[[#This Row],[DATA]])-1)/3)+1&amp;"° TRI"</f>
        <v>4° TRI</v>
      </c>
      <c r="J129" t="str">
        <f>TEXT(Tabela2[[#This Row],[DATA]],"mmm")</f>
        <v>Dec</v>
      </c>
    </row>
    <row r="130" spans="1:10" x14ac:dyDescent="0.25">
      <c r="A130" t="s">
        <v>11</v>
      </c>
      <c r="B130" s="1">
        <v>45282</v>
      </c>
      <c r="C130" t="s">
        <v>121</v>
      </c>
      <c r="D130" s="14">
        <v>-6</v>
      </c>
      <c r="E130" t="s">
        <v>83</v>
      </c>
      <c r="F130" t="str">
        <f>VLOOKUP(Tabela2[[#This Row],[DESCRICAO]],Tabela1[#All],2,0)</f>
        <v>DESPESA</v>
      </c>
      <c r="G130" t="str">
        <f>VLOOKUP(Tabela2[[#This Row],[DESCRICAO]],Tabela1[#All],3,0)</f>
        <v>Alimentação</v>
      </c>
      <c r="H130">
        <f>YEAR(Tabela2[[#This Row],[DATA]])</f>
        <v>2023</v>
      </c>
      <c r="I130" t="str">
        <f>INT((MONTH(Tabela2[[#This Row],[DATA]])-1)/3)+1&amp;"° TRI"</f>
        <v>4° TRI</v>
      </c>
      <c r="J130" t="str">
        <f>TEXT(Tabela2[[#This Row],[DATA]],"mmm")</f>
        <v>Dec</v>
      </c>
    </row>
    <row r="131" spans="1:10" x14ac:dyDescent="0.25">
      <c r="A131" t="s">
        <v>11</v>
      </c>
      <c r="B131" s="1">
        <v>45282</v>
      </c>
      <c r="C131" t="s">
        <v>151</v>
      </c>
      <c r="D131" s="14">
        <v>-43</v>
      </c>
      <c r="E131" t="s">
        <v>83</v>
      </c>
      <c r="F131" t="str">
        <f>VLOOKUP(Tabela2[[#This Row],[DESCRICAO]],Tabela1[#All],2,0)</f>
        <v>DESPESA</v>
      </c>
      <c r="G131" t="str">
        <f>VLOOKUP(Tabela2[[#This Row],[DESCRICAO]],Tabela1[#All],3,0)</f>
        <v>Alimentação</v>
      </c>
      <c r="H131">
        <f>YEAR(Tabela2[[#This Row],[DATA]])</f>
        <v>2023</v>
      </c>
      <c r="I131" t="str">
        <f>INT((MONTH(Tabela2[[#This Row],[DATA]])-1)/3)+1&amp;"° TRI"</f>
        <v>4° TRI</v>
      </c>
      <c r="J131" t="str">
        <f>TEXT(Tabela2[[#This Row],[DATA]],"mmm")</f>
        <v>Dec</v>
      </c>
    </row>
    <row r="132" spans="1:10" x14ac:dyDescent="0.25">
      <c r="A132" t="s">
        <v>11</v>
      </c>
      <c r="B132" s="1">
        <v>45286</v>
      </c>
      <c r="C132" t="s">
        <v>134</v>
      </c>
      <c r="D132" s="14">
        <v>-25</v>
      </c>
      <c r="E132" t="s">
        <v>53</v>
      </c>
      <c r="F132" t="str">
        <f>VLOOKUP(Tabela2[[#This Row],[DESCRICAO]],Tabela1[#All],2,0)</f>
        <v>DESPESA</v>
      </c>
      <c r="G132" t="str">
        <f>VLOOKUP(Tabela2[[#This Row],[DESCRICAO]],Tabela1[#All],3,0)</f>
        <v>Pessoal</v>
      </c>
      <c r="H132">
        <f>YEAR(Tabela2[[#This Row],[DATA]])</f>
        <v>2023</v>
      </c>
      <c r="I132" t="str">
        <f>INT((MONTH(Tabela2[[#This Row],[DATA]])-1)/3)+1&amp;"° TRI"</f>
        <v>4° TRI</v>
      </c>
      <c r="J132" t="str">
        <f>TEXT(Tabela2[[#This Row],[DATA]],"mmm")</f>
        <v>Dec</v>
      </c>
    </row>
    <row r="133" spans="1:10" x14ac:dyDescent="0.25">
      <c r="A133" t="s">
        <v>11</v>
      </c>
      <c r="B133" s="1">
        <v>45286</v>
      </c>
      <c r="C133" t="s">
        <v>141</v>
      </c>
      <c r="D133" s="14">
        <v>-50</v>
      </c>
      <c r="E133" t="s">
        <v>3</v>
      </c>
      <c r="F133" t="str">
        <f>VLOOKUP(Tabela2[[#This Row],[DESCRICAO]],Tabela1[#All],2,0)</f>
        <v>DESPESA</v>
      </c>
      <c r="G133" t="str">
        <f>VLOOKUP(Tabela2[[#This Row],[DESCRICAO]],Tabela1[#All],3,0)</f>
        <v>Transporte</v>
      </c>
      <c r="H133">
        <f>YEAR(Tabela2[[#This Row],[DATA]])</f>
        <v>2023</v>
      </c>
      <c r="I133" t="str">
        <f>INT((MONTH(Tabela2[[#This Row],[DATA]])-1)/3)+1&amp;"° TRI"</f>
        <v>4° TRI</v>
      </c>
      <c r="J133" t="str">
        <f>TEXT(Tabela2[[#This Row],[DATA]],"mmm")</f>
        <v>Dec</v>
      </c>
    </row>
    <row r="134" spans="1:10" x14ac:dyDescent="0.25">
      <c r="A134" t="s">
        <v>11</v>
      </c>
      <c r="B134" s="1">
        <v>45287</v>
      </c>
      <c r="C134" t="s">
        <v>121</v>
      </c>
      <c r="D134" s="14">
        <v>-14</v>
      </c>
      <c r="E134" t="s">
        <v>83</v>
      </c>
      <c r="F134" t="str">
        <f>VLOOKUP(Tabela2[[#This Row],[DESCRICAO]],Tabela1[#All],2,0)</f>
        <v>DESPESA</v>
      </c>
      <c r="G134" t="str">
        <f>VLOOKUP(Tabela2[[#This Row],[DESCRICAO]],Tabela1[#All],3,0)</f>
        <v>Alimentação</v>
      </c>
      <c r="H134">
        <f>YEAR(Tabela2[[#This Row],[DATA]])</f>
        <v>2023</v>
      </c>
      <c r="I134" t="str">
        <f>INT((MONTH(Tabela2[[#This Row],[DATA]])-1)/3)+1&amp;"° TRI"</f>
        <v>4° TRI</v>
      </c>
      <c r="J134" t="str">
        <f>TEXT(Tabela2[[#This Row],[DATA]],"mmm")</f>
        <v>Dec</v>
      </c>
    </row>
    <row r="135" spans="1:10" x14ac:dyDescent="0.25">
      <c r="A135" t="s">
        <v>11</v>
      </c>
      <c r="B135" s="1">
        <v>45288</v>
      </c>
      <c r="C135" t="s">
        <v>121</v>
      </c>
      <c r="D135" s="14">
        <v>-8</v>
      </c>
      <c r="E135" t="s">
        <v>83</v>
      </c>
      <c r="F135" t="str">
        <f>VLOOKUP(Tabela2[[#This Row],[DESCRICAO]],Tabela1[#All],2,0)</f>
        <v>DESPESA</v>
      </c>
      <c r="G135" t="str">
        <f>VLOOKUP(Tabela2[[#This Row],[DESCRICAO]],Tabela1[#All],3,0)</f>
        <v>Alimentação</v>
      </c>
      <c r="H135">
        <f>YEAR(Tabela2[[#This Row],[DATA]])</f>
        <v>2023</v>
      </c>
      <c r="I135" t="str">
        <f>INT((MONTH(Tabela2[[#This Row],[DATA]])-1)/3)+1&amp;"° TRI"</f>
        <v>4° TRI</v>
      </c>
      <c r="J135" t="str">
        <f>TEXT(Tabela2[[#This Row],[DATA]],"mmm")</f>
        <v>Dec</v>
      </c>
    </row>
    <row r="136" spans="1:10" x14ac:dyDescent="0.25">
      <c r="A136" t="s">
        <v>11</v>
      </c>
      <c r="B136" s="1">
        <v>45288</v>
      </c>
      <c r="C136" t="s">
        <v>152</v>
      </c>
      <c r="D136" s="14">
        <v>-2</v>
      </c>
      <c r="E136" t="s">
        <v>50</v>
      </c>
      <c r="F136" t="str">
        <f>VLOOKUP(Tabela2[[#This Row],[DESCRICAO]],Tabela1[#All],2,0)</f>
        <v>DESPESA</v>
      </c>
      <c r="G136" t="str">
        <f>VLOOKUP(Tabela2[[#This Row],[DESCRICAO]],Tabela1[#All],3,0)</f>
        <v>Pessoal</v>
      </c>
      <c r="H136">
        <f>YEAR(Tabela2[[#This Row],[DATA]])</f>
        <v>2023</v>
      </c>
      <c r="I136" t="str">
        <f>INT((MONTH(Tabela2[[#This Row],[DATA]])-1)/3)+1&amp;"° TRI"</f>
        <v>4° TRI</v>
      </c>
      <c r="J136" t="str">
        <f>TEXT(Tabela2[[#This Row],[DATA]],"mmm")</f>
        <v>Dec</v>
      </c>
    </row>
    <row r="137" spans="1:10" x14ac:dyDescent="0.25">
      <c r="A137" t="s">
        <v>11</v>
      </c>
      <c r="B137" s="1">
        <v>45289</v>
      </c>
      <c r="C137" t="s">
        <v>121</v>
      </c>
      <c r="D137" s="14">
        <v>-5.5</v>
      </c>
      <c r="E137" t="s">
        <v>83</v>
      </c>
      <c r="F137" t="str">
        <f>VLOOKUP(Tabela2[[#This Row],[DESCRICAO]],Tabela1[#All],2,0)</f>
        <v>DESPESA</v>
      </c>
      <c r="G137" t="str">
        <f>VLOOKUP(Tabela2[[#This Row],[DESCRICAO]],Tabela1[#All],3,0)</f>
        <v>Alimentação</v>
      </c>
      <c r="H137">
        <f>YEAR(Tabela2[[#This Row],[DATA]])</f>
        <v>2023</v>
      </c>
      <c r="I137" t="str">
        <f>INT((MONTH(Tabela2[[#This Row],[DATA]])-1)/3)+1&amp;"° TRI"</f>
        <v>4° TRI</v>
      </c>
      <c r="J137" t="str">
        <f>TEXT(Tabela2[[#This Row],[DATA]],"mmm")</f>
        <v>Dec</v>
      </c>
    </row>
    <row r="138" spans="1:10" x14ac:dyDescent="0.25">
      <c r="A138" t="s">
        <v>11</v>
      </c>
      <c r="B138" s="1">
        <v>41984</v>
      </c>
      <c r="C138" s="22" t="s">
        <v>161</v>
      </c>
      <c r="D138" s="14">
        <v>100000</v>
      </c>
      <c r="E138" t="s">
        <v>12</v>
      </c>
      <c r="F138" t="str">
        <f>VLOOKUP(Tabela2[[#This Row],[DESCRICAO]],Tabela1[#All],2,0)</f>
        <v>RECEITA</v>
      </c>
      <c r="G138">
        <f>VLOOKUP(Tabela2[[#This Row],[DESCRICAO]],Tabela1[#All],3,0)</f>
        <v>0</v>
      </c>
      <c r="H138">
        <f>YEAR(Tabela2[[#This Row],[DATA]])</f>
        <v>2014</v>
      </c>
      <c r="I138" t="str">
        <f>INT((MONTH(Tabela2[[#This Row],[DATA]])-1)/3)+1&amp;"° TRI"</f>
        <v>4° TRI</v>
      </c>
      <c r="J138" t="str">
        <f>TEXT(Tabela2[[#This Row],[DATA]],"mmm")</f>
        <v>Dec</v>
      </c>
    </row>
    <row r="139" spans="1:10" x14ac:dyDescent="0.25">
      <c r="A139" t="s">
        <v>11</v>
      </c>
      <c r="B139" s="1">
        <v>45637</v>
      </c>
      <c r="C139" s="27" t="s">
        <v>161</v>
      </c>
      <c r="D139" s="14">
        <v>-50000</v>
      </c>
      <c r="E139" t="s">
        <v>72</v>
      </c>
      <c r="F139" t="str">
        <f>VLOOKUP(Tabela2[[#This Row],[DESCRICAO]],Tabela1[#All],2,0)</f>
        <v>DESPESA</v>
      </c>
      <c r="G139" t="str">
        <f>VLOOKUP(Tabela2[[#This Row],[DESCRICAO]],Tabela1[#All],3,0)</f>
        <v>Pessoal</v>
      </c>
      <c r="H139">
        <f>YEAR(Tabela2[[#This Row],[DATA]])</f>
        <v>2024</v>
      </c>
      <c r="I139" t="str">
        <f>INT((MONTH(Tabela2[[#This Row],[DATA]])-1)/3)+1&amp;"° TRI"</f>
        <v>4° TRI</v>
      </c>
      <c r="J139" t="str">
        <f>TEXT(Tabela2[[#This Row],[DATA]],"mmm")</f>
        <v>Dec</v>
      </c>
    </row>
  </sheetData>
  <phoneticPr fontId="7" type="noConversion"/>
  <dataValidations count="1">
    <dataValidation type="list" allowBlank="1" showInputMessage="1" showErrorMessage="1" sqref="E2:E139" xr:uid="{87D6B9DF-54A4-4788-B843-A661DFF60338}">
      <formula1>DESCRIÇÃO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4AE0B-C68D-47A5-92C0-3C4F2BC0DABD}">
  <dimension ref="A1:J22"/>
  <sheetViews>
    <sheetView workbookViewId="0">
      <selection activeCell="A22" sqref="A22:J22"/>
    </sheetView>
  </sheetViews>
  <sheetFormatPr defaultRowHeight="15" x14ac:dyDescent="0.25"/>
  <cols>
    <col min="1" max="2" width="9.28515625" bestFit="1" customWidth="1"/>
    <col min="3" max="3" width="52.140625" bestFit="1" customWidth="1"/>
    <col min="4" max="4" width="11.7109375" bestFit="1" customWidth="1"/>
    <col min="5" max="5" width="12.7109375" bestFit="1" customWidth="1"/>
    <col min="6" max="6" width="9.28515625" bestFit="1" customWidth="1"/>
    <col min="7" max="7" width="13" bestFit="1" customWidth="1"/>
    <col min="8" max="10" width="9.28515625" bestFit="1" customWidth="1"/>
  </cols>
  <sheetData>
    <row r="1" spans="1:10" x14ac:dyDescent="0.25">
      <c r="A1" s="10" t="s">
        <v>158</v>
      </c>
    </row>
    <row r="3" spans="1:10" x14ac:dyDescent="0.25">
      <c r="A3" t="s">
        <v>6</v>
      </c>
      <c r="B3" t="s">
        <v>7</v>
      </c>
      <c r="C3" t="s">
        <v>8</v>
      </c>
      <c r="D3" t="s">
        <v>9</v>
      </c>
      <c r="E3" t="s">
        <v>17</v>
      </c>
      <c r="F3" t="s">
        <v>1</v>
      </c>
      <c r="G3" t="s">
        <v>10</v>
      </c>
      <c r="H3" t="s">
        <v>18</v>
      </c>
      <c r="I3" t="s">
        <v>19</v>
      </c>
      <c r="J3" t="s">
        <v>20</v>
      </c>
    </row>
    <row r="4" spans="1:10" x14ac:dyDescent="0.25">
      <c r="A4" t="s">
        <v>11</v>
      </c>
      <c r="B4" s="1">
        <v>45212</v>
      </c>
      <c r="C4" t="s">
        <v>114</v>
      </c>
      <c r="D4">
        <v>1.49</v>
      </c>
      <c r="E4" t="s">
        <v>78</v>
      </c>
      <c r="F4" t="s">
        <v>14</v>
      </c>
      <c r="G4">
        <v>0</v>
      </c>
      <c r="H4">
        <v>2023</v>
      </c>
      <c r="I4" t="s">
        <v>101</v>
      </c>
      <c r="J4" t="s">
        <v>102</v>
      </c>
    </row>
    <row r="5" spans="1:10" x14ac:dyDescent="0.25">
      <c r="A5" t="s">
        <v>11</v>
      </c>
      <c r="B5" s="1">
        <v>45246</v>
      </c>
      <c r="C5" t="s">
        <v>139</v>
      </c>
      <c r="D5">
        <v>2</v>
      </c>
      <c r="E5" t="s">
        <v>95</v>
      </c>
      <c r="F5" t="s">
        <v>14</v>
      </c>
      <c r="G5" t="s">
        <v>16</v>
      </c>
      <c r="H5">
        <v>2023</v>
      </c>
      <c r="I5" t="s">
        <v>101</v>
      </c>
      <c r="J5" t="s">
        <v>153</v>
      </c>
    </row>
    <row r="6" spans="1:10" x14ac:dyDescent="0.25">
      <c r="A6" t="s">
        <v>11</v>
      </c>
      <c r="B6" s="1">
        <v>45215</v>
      </c>
      <c r="C6" t="s">
        <v>113</v>
      </c>
      <c r="D6">
        <v>7</v>
      </c>
      <c r="E6" t="s">
        <v>78</v>
      </c>
      <c r="F6" t="s">
        <v>14</v>
      </c>
      <c r="G6">
        <v>0</v>
      </c>
      <c r="H6">
        <v>2023</v>
      </c>
      <c r="I6" t="s">
        <v>101</v>
      </c>
      <c r="J6" t="s">
        <v>102</v>
      </c>
    </row>
    <row r="7" spans="1:10" x14ac:dyDescent="0.25">
      <c r="A7" t="s">
        <v>11</v>
      </c>
      <c r="B7" s="1">
        <v>45180</v>
      </c>
      <c r="C7" t="s">
        <v>49</v>
      </c>
      <c r="D7">
        <v>9.99</v>
      </c>
      <c r="E7" t="s">
        <v>12</v>
      </c>
      <c r="F7" t="s">
        <v>14</v>
      </c>
      <c r="G7">
        <v>0</v>
      </c>
      <c r="H7">
        <v>2023</v>
      </c>
      <c r="I7" t="s">
        <v>88</v>
      </c>
      <c r="J7" t="s">
        <v>22</v>
      </c>
    </row>
    <row r="8" spans="1:10" x14ac:dyDescent="0.25">
      <c r="A8" t="s">
        <v>11</v>
      </c>
      <c r="B8" s="1">
        <v>45257</v>
      </c>
      <c r="C8" t="s">
        <v>110</v>
      </c>
      <c r="D8">
        <v>20</v>
      </c>
      <c r="E8" t="s">
        <v>78</v>
      </c>
      <c r="F8" t="s">
        <v>14</v>
      </c>
      <c r="G8">
        <v>0</v>
      </c>
      <c r="H8">
        <v>2023</v>
      </c>
      <c r="I8" t="s">
        <v>101</v>
      </c>
      <c r="J8" t="s">
        <v>153</v>
      </c>
    </row>
    <row r="9" spans="1:10" x14ac:dyDescent="0.25">
      <c r="A9" t="s">
        <v>11</v>
      </c>
      <c r="B9" s="1">
        <v>45204</v>
      </c>
      <c r="C9" t="s">
        <v>105</v>
      </c>
      <c r="D9">
        <v>20</v>
      </c>
      <c r="E9" t="s">
        <v>95</v>
      </c>
      <c r="F9" t="s">
        <v>14</v>
      </c>
      <c r="G9" t="s">
        <v>16</v>
      </c>
      <c r="H9">
        <v>2023</v>
      </c>
      <c r="I9" t="s">
        <v>101</v>
      </c>
      <c r="J9" t="s">
        <v>102</v>
      </c>
    </row>
    <row r="10" spans="1:10" x14ac:dyDescent="0.25">
      <c r="A10" t="s">
        <v>11</v>
      </c>
      <c r="B10" s="1">
        <v>45257</v>
      </c>
      <c r="C10" t="s">
        <v>110</v>
      </c>
      <c r="D10">
        <v>60</v>
      </c>
      <c r="E10" t="s">
        <v>78</v>
      </c>
      <c r="F10" t="s">
        <v>14</v>
      </c>
      <c r="G10">
        <v>0</v>
      </c>
      <c r="H10">
        <v>2023</v>
      </c>
      <c r="I10" t="s">
        <v>101</v>
      </c>
      <c r="J10" t="s">
        <v>153</v>
      </c>
    </row>
    <row r="11" spans="1:10" x14ac:dyDescent="0.25">
      <c r="A11" t="s">
        <v>11</v>
      </c>
      <c r="B11" s="1">
        <v>45250</v>
      </c>
      <c r="C11" t="s">
        <v>110</v>
      </c>
      <c r="D11">
        <v>150</v>
      </c>
      <c r="E11" t="s">
        <v>78</v>
      </c>
      <c r="F11" t="s">
        <v>14</v>
      </c>
      <c r="G11">
        <v>0</v>
      </c>
      <c r="H11">
        <v>2023</v>
      </c>
      <c r="I11" t="s">
        <v>101</v>
      </c>
      <c r="J11" t="s">
        <v>153</v>
      </c>
    </row>
    <row r="12" spans="1:10" x14ac:dyDescent="0.25">
      <c r="A12" t="s">
        <v>11</v>
      </c>
      <c r="B12" s="1">
        <v>45243</v>
      </c>
      <c r="C12" t="s">
        <v>110</v>
      </c>
      <c r="D12">
        <v>250</v>
      </c>
      <c r="E12" t="s">
        <v>78</v>
      </c>
      <c r="F12" t="s">
        <v>14</v>
      </c>
      <c r="G12">
        <v>0</v>
      </c>
      <c r="H12">
        <v>2023</v>
      </c>
      <c r="I12" t="s">
        <v>101</v>
      </c>
      <c r="J12" t="s">
        <v>153</v>
      </c>
    </row>
    <row r="13" spans="1:10" x14ac:dyDescent="0.25">
      <c r="A13" t="s">
        <v>11</v>
      </c>
      <c r="B13" s="1">
        <v>45278</v>
      </c>
      <c r="C13" t="s">
        <v>150</v>
      </c>
      <c r="D13">
        <v>500</v>
      </c>
      <c r="E13" t="s">
        <v>78</v>
      </c>
      <c r="F13" t="s">
        <v>14</v>
      </c>
      <c r="G13">
        <v>0</v>
      </c>
      <c r="H13">
        <v>2023</v>
      </c>
      <c r="I13" t="s">
        <v>101</v>
      </c>
      <c r="J13" t="s">
        <v>157</v>
      </c>
    </row>
    <row r="14" spans="1:10" x14ac:dyDescent="0.25">
      <c r="A14" t="s">
        <v>11</v>
      </c>
      <c r="B14" s="1">
        <v>45260</v>
      </c>
      <c r="C14" t="s">
        <v>51</v>
      </c>
      <c r="D14">
        <v>536</v>
      </c>
      <c r="E14" t="s">
        <v>12</v>
      </c>
      <c r="F14" t="s">
        <v>14</v>
      </c>
      <c r="G14">
        <v>0</v>
      </c>
      <c r="H14">
        <v>2023</v>
      </c>
      <c r="I14" t="s">
        <v>101</v>
      </c>
      <c r="J14" t="s">
        <v>153</v>
      </c>
    </row>
    <row r="15" spans="1:10" x14ac:dyDescent="0.25">
      <c r="A15" t="s">
        <v>11</v>
      </c>
      <c r="B15" s="1">
        <v>45280</v>
      </c>
      <c r="C15" t="s">
        <v>51</v>
      </c>
      <c r="D15">
        <v>569.25</v>
      </c>
      <c r="E15" t="s">
        <v>12</v>
      </c>
      <c r="F15" t="s">
        <v>14</v>
      </c>
      <c r="G15">
        <v>0</v>
      </c>
      <c r="H15">
        <v>2023</v>
      </c>
      <c r="I15" t="s">
        <v>101</v>
      </c>
      <c r="J15" t="s">
        <v>157</v>
      </c>
    </row>
    <row r="16" spans="1:10" x14ac:dyDescent="0.25">
      <c r="A16" t="s">
        <v>11</v>
      </c>
      <c r="B16" s="1">
        <v>45210</v>
      </c>
      <c r="C16" t="s">
        <v>110</v>
      </c>
      <c r="D16">
        <v>800</v>
      </c>
      <c r="E16" t="s">
        <v>78</v>
      </c>
      <c r="F16" t="s">
        <v>14</v>
      </c>
      <c r="G16">
        <v>0</v>
      </c>
      <c r="H16">
        <v>2023</v>
      </c>
      <c r="I16" t="s">
        <v>101</v>
      </c>
      <c r="J16" t="s">
        <v>102</v>
      </c>
    </row>
    <row r="17" spans="1:10" x14ac:dyDescent="0.25">
      <c r="A17" t="s">
        <v>11</v>
      </c>
      <c r="B17" s="1">
        <v>45183</v>
      </c>
      <c r="C17" t="s">
        <v>77</v>
      </c>
      <c r="D17">
        <v>804</v>
      </c>
      <c r="E17" t="s">
        <v>78</v>
      </c>
      <c r="F17" t="s">
        <v>14</v>
      </c>
      <c r="G17">
        <v>0</v>
      </c>
      <c r="H17">
        <v>2023</v>
      </c>
      <c r="I17" t="s">
        <v>88</v>
      </c>
      <c r="J17" t="s">
        <v>22</v>
      </c>
    </row>
    <row r="18" spans="1:10" x14ac:dyDescent="0.25">
      <c r="A18" t="s">
        <v>11</v>
      </c>
      <c r="B18" s="1">
        <v>45266</v>
      </c>
      <c r="C18" t="s">
        <v>51</v>
      </c>
      <c r="D18">
        <v>855.25</v>
      </c>
      <c r="E18" t="s">
        <v>12</v>
      </c>
      <c r="F18" t="s">
        <v>14</v>
      </c>
      <c r="G18">
        <v>0</v>
      </c>
      <c r="H18">
        <v>2023</v>
      </c>
      <c r="I18" t="s">
        <v>101</v>
      </c>
      <c r="J18" t="s">
        <v>157</v>
      </c>
    </row>
    <row r="19" spans="1:10" x14ac:dyDescent="0.25">
      <c r="A19" t="s">
        <v>11</v>
      </c>
      <c r="B19" s="1">
        <v>45236</v>
      </c>
      <c r="C19" t="s">
        <v>51</v>
      </c>
      <c r="D19">
        <v>999.5</v>
      </c>
      <c r="E19" t="s">
        <v>12</v>
      </c>
      <c r="F19" t="s">
        <v>14</v>
      </c>
      <c r="G19">
        <v>0</v>
      </c>
      <c r="H19">
        <v>2023</v>
      </c>
      <c r="I19" t="s">
        <v>101</v>
      </c>
      <c r="J19" t="s">
        <v>153</v>
      </c>
    </row>
    <row r="20" spans="1:10" x14ac:dyDescent="0.25">
      <c r="A20" t="s">
        <v>11</v>
      </c>
      <c r="B20" s="1">
        <v>45180</v>
      </c>
      <c r="C20" t="s">
        <v>51</v>
      </c>
      <c r="D20">
        <v>1141</v>
      </c>
      <c r="E20" t="s">
        <v>12</v>
      </c>
      <c r="F20" t="s">
        <v>14</v>
      </c>
      <c r="G20">
        <v>0</v>
      </c>
      <c r="H20">
        <v>2023</v>
      </c>
      <c r="I20" t="s">
        <v>88</v>
      </c>
      <c r="J20" t="s">
        <v>22</v>
      </c>
    </row>
    <row r="21" spans="1:10" x14ac:dyDescent="0.25">
      <c r="A21" t="s">
        <v>11</v>
      </c>
      <c r="B21" s="1">
        <v>45204</v>
      </c>
      <c r="C21" t="s">
        <v>51</v>
      </c>
      <c r="D21">
        <v>1246.94</v>
      </c>
      <c r="E21" t="s">
        <v>12</v>
      </c>
      <c r="F21" t="s">
        <v>14</v>
      </c>
      <c r="G21">
        <v>0</v>
      </c>
      <c r="H21">
        <v>2023</v>
      </c>
      <c r="I21" t="s">
        <v>101</v>
      </c>
      <c r="J21" t="s">
        <v>102</v>
      </c>
    </row>
    <row r="22" spans="1:10" x14ac:dyDescent="0.25">
      <c r="B22" s="1"/>
      <c r="C22" s="22"/>
      <c r="D22" s="14"/>
    </row>
  </sheetData>
  <dataValidations count="1">
    <dataValidation type="list" allowBlank="1" showInputMessage="1" showErrorMessage="1" sqref="E22" xr:uid="{E19BD895-DBE7-47B2-BF10-28279201C316}">
      <formula1>DESCRIÇÃO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35476-D6DF-46FA-8C83-4333B5A309F4}">
  <dimension ref="A1:J121"/>
  <sheetViews>
    <sheetView topLeftCell="A108" workbookViewId="0">
      <selection activeCell="C21" sqref="C21"/>
    </sheetView>
  </sheetViews>
  <sheetFormatPr defaultRowHeight="15" x14ac:dyDescent="0.25"/>
  <cols>
    <col min="1" max="2" width="9.28515625" bestFit="1" customWidth="1"/>
    <col min="3" max="3" width="58.28515625" bestFit="1" customWidth="1"/>
    <col min="4" max="4" width="9.28515625" bestFit="1" customWidth="1"/>
    <col min="5" max="5" width="17.42578125" bestFit="1" customWidth="1"/>
    <col min="6" max="6" width="9.28515625" bestFit="1" customWidth="1"/>
    <col min="7" max="7" width="14.7109375" bestFit="1" customWidth="1"/>
    <col min="8" max="10" width="9.28515625" bestFit="1" customWidth="1"/>
  </cols>
  <sheetData>
    <row r="1" spans="1:10" x14ac:dyDescent="0.25">
      <c r="A1" s="10" t="s">
        <v>159</v>
      </c>
    </row>
    <row r="3" spans="1:10" x14ac:dyDescent="0.25">
      <c r="A3" t="s">
        <v>6</v>
      </c>
      <c r="B3" t="s">
        <v>7</v>
      </c>
      <c r="C3" t="s">
        <v>8</v>
      </c>
      <c r="D3" t="s">
        <v>9</v>
      </c>
      <c r="E3" t="s">
        <v>17</v>
      </c>
      <c r="F3" t="s">
        <v>1</v>
      </c>
      <c r="G3" t="s">
        <v>10</v>
      </c>
      <c r="H3" t="s">
        <v>18</v>
      </c>
      <c r="I3" t="s">
        <v>19</v>
      </c>
      <c r="J3" t="s">
        <v>20</v>
      </c>
    </row>
    <row r="4" spans="1:10" x14ac:dyDescent="0.25">
      <c r="A4" t="s">
        <v>11</v>
      </c>
      <c r="B4" s="1">
        <v>45212</v>
      </c>
      <c r="C4" t="s">
        <v>111</v>
      </c>
      <c r="D4">
        <v>-1802.17</v>
      </c>
      <c r="E4" t="s">
        <v>50</v>
      </c>
      <c r="F4" t="s">
        <v>4</v>
      </c>
      <c r="G4" t="s">
        <v>16</v>
      </c>
      <c r="H4">
        <v>2023</v>
      </c>
      <c r="I4" t="s">
        <v>101</v>
      </c>
      <c r="J4" t="s">
        <v>102</v>
      </c>
    </row>
    <row r="5" spans="1:10" x14ac:dyDescent="0.25">
      <c r="A5" t="s">
        <v>11</v>
      </c>
      <c r="B5" s="1">
        <v>45180</v>
      </c>
      <c r="C5" t="s">
        <v>73</v>
      </c>
      <c r="D5">
        <v>-1000</v>
      </c>
      <c r="E5" t="s">
        <v>74</v>
      </c>
      <c r="F5" t="s">
        <v>4</v>
      </c>
      <c r="G5" t="s">
        <v>15</v>
      </c>
      <c r="H5">
        <v>2023</v>
      </c>
      <c r="I5" t="s">
        <v>88</v>
      </c>
      <c r="J5" t="s">
        <v>22</v>
      </c>
    </row>
    <row r="6" spans="1:10" x14ac:dyDescent="0.25">
      <c r="A6" t="s">
        <v>11</v>
      </c>
      <c r="B6" s="1">
        <v>45180</v>
      </c>
      <c r="C6" t="s">
        <v>73</v>
      </c>
      <c r="D6">
        <v>-1000</v>
      </c>
      <c r="E6" t="s">
        <v>74</v>
      </c>
      <c r="F6" t="s">
        <v>4</v>
      </c>
      <c r="G6" t="s">
        <v>15</v>
      </c>
      <c r="H6">
        <v>2023</v>
      </c>
      <c r="I6" t="s">
        <v>88</v>
      </c>
      <c r="J6" t="s">
        <v>22</v>
      </c>
    </row>
    <row r="7" spans="1:10" x14ac:dyDescent="0.25">
      <c r="A7" t="s">
        <v>11</v>
      </c>
      <c r="B7" s="1">
        <v>45210</v>
      </c>
      <c r="C7" t="s">
        <v>109</v>
      </c>
      <c r="D7">
        <v>-707.7</v>
      </c>
      <c r="E7" t="s">
        <v>13</v>
      </c>
      <c r="F7" t="s">
        <v>4</v>
      </c>
      <c r="G7" t="s">
        <v>15</v>
      </c>
      <c r="H7">
        <v>2023</v>
      </c>
      <c r="I7" t="s">
        <v>101</v>
      </c>
      <c r="J7" t="s">
        <v>102</v>
      </c>
    </row>
    <row r="8" spans="1:10" x14ac:dyDescent="0.25">
      <c r="A8" t="s">
        <v>11</v>
      </c>
      <c r="B8" s="1">
        <v>45243</v>
      </c>
      <c r="C8" t="s">
        <v>109</v>
      </c>
      <c r="D8">
        <v>-707.7</v>
      </c>
      <c r="E8" t="s">
        <v>13</v>
      </c>
      <c r="F8" t="s">
        <v>4</v>
      </c>
      <c r="G8" t="s">
        <v>15</v>
      </c>
      <c r="H8">
        <v>2023</v>
      </c>
      <c r="I8" t="s">
        <v>101</v>
      </c>
      <c r="J8" t="s">
        <v>153</v>
      </c>
    </row>
    <row r="9" spans="1:10" x14ac:dyDescent="0.25">
      <c r="A9" t="s">
        <v>11</v>
      </c>
      <c r="B9" s="1">
        <v>45273</v>
      </c>
      <c r="C9" t="s">
        <v>109</v>
      </c>
      <c r="D9">
        <v>-707.7</v>
      </c>
      <c r="E9" t="s">
        <v>13</v>
      </c>
      <c r="F9" t="s">
        <v>4</v>
      </c>
      <c r="G9" t="s">
        <v>15</v>
      </c>
      <c r="H9">
        <v>2023</v>
      </c>
      <c r="I9" t="s">
        <v>101</v>
      </c>
      <c r="J9" t="s">
        <v>157</v>
      </c>
    </row>
    <row r="10" spans="1:10" x14ac:dyDescent="0.25">
      <c r="A10" t="s">
        <v>11</v>
      </c>
      <c r="B10" s="1">
        <v>45187</v>
      </c>
      <c r="C10" t="s">
        <v>46</v>
      </c>
      <c r="D10">
        <v>-460</v>
      </c>
      <c r="E10" t="s">
        <v>50</v>
      </c>
      <c r="F10" t="s">
        <v>4</v>
      </c>
      <c r="G10" t="s">
        <v>16</v>
      </c>
      <c r="H10">
        <v>2023</v>
      </c>
      <c r="I10" t="s">
        <v>88</v>
      </c>
      <c r="J10" t="s">
        <v>22</v>
      </c>
    </row>
    <row r="11" spans="1:10" hidden="1" x14ac:dyDescent="0.25">
      <c r="A11" t="s">
        <v>94</v>
      </c>
      <c r="B11" s="1">
        <v>45187</v>
      </c>
      <c r="C11" t="s">
        <v>96</v>
      </c>
      <c r="D11">
        <v>-450</v>
      </c>
      <c r="E11" t="s">
        <v>74</v>
      </c>
      <c r="F11" t="s">
        <v>4</v>
      </c>
      <c r="G11" t="s">
        <v>15</v>
      </c>
      <c r="H11">
        <v>2023</v>
      </c>
      <c r="I11" t="s">
        <v>88</v>
      </c>
      <c r="J11" t="s">
        <v>22</v>
      </c>
    </row>
    <row r="12" spans="1:10" x14ac:dyDescent="0.25">
      <c r="A12" t="s">
        <v>11</v>
      </c>
      <c r="B12" s="1">
        <v>45267</v>
      </c>
      <c r="C12" t="s">
        <v>136</v>
      </c>
      <c r="D12">
        <v>-434.59</v>
      </c>
      <c r="E12" t="s">
        <v>79</v>
      </c>
      <c r="F12" t="s">
        <v>4</v>
      </c>
      <c r="G12" t="s">
        <v>15</v>
      </c>
      <c r="H12">
        <v>2023</v>
      </c>
      <c r="I12" t="s">
        <v>101</v>
      </c>
      <c r="J12" t="s">
        <v>157</v>
      </c>
    </row>
    <row r="13" spans="1:10" x14ac:dyDescent="0.25">
      <c r="A13" t="s">
        <v>11</v>
      </c>
      <c r="B13" s="1">
        <v>45237</v>
      </c>
      <c r="C13" t="s">
        <v>136</v>
      </c>
      <c r="D13">
        <v>-392.2</v>
      </c>
      <c r="E13" t="s">
        <v>79</v>
      </c>
      <c r="F13" t="s">
        <v>4</v>
      </c>
      <c r="G13" t="s">
        <v>15</v>
      </c>
      <c r="H13">
        <v>2023</v>
      </c>
      <c r="I13" t="s">
        <v>101</v>
      </c>
      <c r="J13" t="s">
        <v>153</v>
      </c>
    </row>
    <row r="14" spans="1:10" x14ac:dyDescent="0.25">
      <c r="A14" t="s">
        <v>11</v>
      </c>
      <c r="B14" s="1">
        <v>45204</v>
      </c>
      <c r="C14" t="s">
        <v>48</v>
      </c>
      <c r="D14">
        <v>-334.9</v>
      </c>
      <c r="E14" t="s">
        <v>79</v>
      </c>
      <c r="F14" t="s">
        <v>4</v>
      </c>
      <c r="G14" t="s">
        <v>15</v>
      </c>
      <c r="H14">
        <v>2023</v>
      </c>
      <c r="I14" t="s">
        <v>101</v>
      </c>
      <c r="J14" t="s">
        <v>102</v>
      </c>
    </row>
    <row r="15" spans="1:10" x14ac:dyDescent="0.25">
      <c r="A15" t="s">
        <v>11</v>
      </c>
      <c r="B15" s="1">
        <v>45222</v>
      </c>
      <c r="C15" t="s">
        <v>127</v>
      </c>
      <c r="D15">
        <v>-213</v>
      </c>
      <c r="E15" t="s">
        <v>156</v>
      </c>
      <c r="F15" t="s">
        <v>4</v>
      </c>
      <c r="G15" t="s">
        <v>16</v>
      </c>
      <c r="H15">
        <v>2023</v>
      </c>
      <c r="I15" t="s">
        <v>101</v>
      </c>
      <c r="J15" t="s">
        <v>102</v>
      </c>
    </row>
    <row r="16" spans="1:10" x14ac:dyDescent="0.25">
      <c r="A16" t="s">
        <v>11</v>
      </c>
      <c r="B16" s="1">
        <v>45217</v>
      </c>
      <c r="C16" t="s">
        <v>120</v>
      </c>
      <c r="D16">
        <v>-112.45</v>
      </c>
      <c r="E16" t="s">
        <v>62</v>
      </c>
      <c r="F16" t="s">
        <v>4</v>
      </c>
      <c r="G16" t="s">
        <v>5</v>
      </c>
      <c r="H16">
        <v>2023</v>
      </c>
      <c r="I16" t="s">
        <v>101</v>
      </c>
      <c r="J16" t="s">
        <v>102</v>
      </c>
    </row>
    <row r="17" spans="1:10" x14ac:dyDescent="0.25">
      <c r="A17" t="s">
        <v>11</v>
      </c>
      <c r="B17" s="1">
        <v>45222</v>
      </c>
      <c r="C17" t="s">
        <v>122</v>
      </c>
      <c r="D17">
        <v>-108.56</v>
      </c>
      <c r="E17" t="s">
        <v>72</v>
      </c>
      <c r="F17" t="s">
        <v>4</v>
      </c>
      <c r="G17" t="s">
        <v>16</v>
      </c>
      <c r="H17">
        <v>2023</v>
      </c>
      <c r="I17" t="s">
        <v>101</v>
      </c>
      <c r="J17" t="s">
        <v>102</v>
      </c>
    </row>
    <row r="18" spans="1:10" x14ac:dyDescent="0.25">
      <c r="A18" t="s">
        <v>11</v>
      </c>
      <c r="B18" s="1">
        <v>45204</v>
      </c>
      <c r="C18" t="s">
        <v>104</v>
      </c>
      <c r="D18">
        <v>-100</v>
      </c>
      <c r="E18" t="s">
        <v>71</v>
      </c>
      <c r="F18" t="s">
        <v>4</v>
      </c>
      <c r="G18" t="s">
        <v>16</v>
      </c>
      <c r="H18">
        <v>2023</v>
      </c>
      <c r="I18" t="s">
        <v>101</v>
      </c>
      <c r="J18" t="s">
        <v>102</v>
      </c>
    </row>
    <row r="19" spans="1:10" x14ac:dyDescent="0.25">
      <c r="A19" t="s">
        <v>11</v>
      </c>
      <c r="B19" s="1">
        <v>45252</v>
      </c>
      <c r="C19" t="s">
        <v>109</v>
      </c>
      <c r="D19">
        <v>-74.709999999999994</v>
      </c>
      <c r="E19" t="s">
        <v>58</v>
      </c>
      <c r="F19" t="s">
        <v>4</v>
      </c>
      <c r="G19" t="s">
        <v>16</v>
      </c>
      <c r="H19">
        <v>2023</v>
      </c>
      <c r="I19" t="s">
        <v>101</v>
      </c>
      <c r="J19" t="s">
        <v>153</v>
      </c>
    </row>
    <row r="20" spans="1:10" x14ac:dyDescent="0.25">
      <c r="A20" t="s">
        <v>11</v>
      </c>
      <c r="B20" s="1">
        <v>45278</v>
      </c>
      <c r="C20" t="s">
        <v>135</v>
      </c>
      <c r="D20">
        <v>-71.69</v>
      </c>
      <c r="E20" t="s">
        <v>57</v>
      </c>
      <c r="F20" t="s">
        <v>4</v>
      </c>
      <c r="G20" t="s">
        <v>56</v>
      </c>
      <c r="H20">
        <v>2023</v>
      </c>
      <c r="I20" t="s">
        <v>101</v>
      </c>
      <c r="J20" t="s">
        <v>157</v>
      </c>
    </row>
    <row r="21" spans="1:10" x14ac:dyDescent="0.25">
      <c r="A21" t="s">
        <v>11</v>
      </c>
      <c r="B21" s="1">
        <v>45223</v>
      </c>
      <c r="C21" t="s">
        <v>133</v>
      </c>
      <c r="D21">
        <v>-69.5</v>
      </c>
      <c r="E21" t="s">
        <v>83</v>
      </c>
      <c r="F21" t="s">
        <v>4</v>
      </c>
      <c r="G21" t="s">
        <v>67</v>
      </c>
      <c r="H21">
        <v>2023</v>
      </c>
      <c r="I21" t="s">
        <v>101</v>
      </c>
      <c r="J21" t="s">
        <v>102</v>
      </c>
    </row>
    <row r="22" spans="1:10" x14ac:dyDescent="0.25">
      <c r="A22" t="s">
        <v>11</v>
      </c>
      <c r="B22" s="1">
        <v>45188</v>
      </c>
      <c r="C22" t="s">
        <v>48</v>
      </c>
      <c r="D22">
        <v>-60.6</v>
      </c>
      <c r="E22" t="s">
        <v>79</v>
      </c>
      <c r="F22" t="s">
        <v>4</v>
      </c>
      <c r="G22" t="s">
        <v>15</v>
      </c>
      <c r="H22">
        <v>2023</v>
      </c>
      <c r="I22" t="s">
        <v>88</v>
      </c>
      <c r="J22" t="s">
        <v>22</v>
      </c>
    </row>
    <row r="23" spans="1:10" x14ac:dyDescent="0.25">
      <c r="A23" t="s">
        <v>11</v>
      </c>
      <c r="B23" s="1">
        <v>45264</v>
      </c>
      <c r="C23" t="s">
        <v>147</v>
      </c>
      <c r="D23">
        <v>-52</v>
      </c>
      <c r="E23" t="s">
        <v>59</v>
      </c>
      <c r="F23" t="s">
        <v>4</v>
      </c>
      <c r="G23" t="s">
        <v>60</v>
      </c>
      <c r="H23">
        <v>2023</v>
      </c>
      <c r="I23" t="s">
        <v>101</v>
      </c>
      <c r="J23" t="s">
        <v>157</v>
      </c>
    </row>
    <row r="24" spans="1:10" x14ac:dyDescent="0.25">
      <c r="A24" t="s">
        <v>11</v>
      </c>
      <c r="B24" s="1">
        <v>45222</v>
      </c>
      <c r="C24" t="s">
        <v>126</v>
      </c>
      <c r="D24">
        <v>-51.82</v>
      </c>
      <c r="E24" t="s">
        <v>68</v>
      </c>
      <c r="F24" t="s">
        <v>4</v>
      </c>
      <c r="G24" t="s">
        <v>67</v>
      </c>
      <c r="H24">
        <v>2023</v>
      </c>
      <c r="I24" t="s">
        <v>101</v>
      </c>
      <c r="J24" t="s">
        <v>102</v>
      </c>
    </row>
    <row r="25" spans="1:10" x14ac:dyDescent="0.25">
      <c r="A25" t="s">
        <v>11</v>
      </c>
      <c r="B25" s="1">
        <v>45201</v>
      </c>
      <c r="C25" t="s">
        <v>73</v>
      </c>
      <c r="D25">
        <v>-50</v>
      </c>
      <c r="E25" t="s">
        <v>74</v>
      </c>
      <c r="F25" t="s">
        <v>4</v>
      </c>
      <c r="G25" t="s">
        <v>15</v>
      </c>
      <c r="H25">
        <v>2023</v>
      </c>
      <c r="I25" t="s">
        <v>101</v>
      </c>
      <c r="J25" t="s">
        <v>102</v>
      </c>
    </row>
    <row r="26" spans="1:10" x14ac:dyDescent="0.25">
      <c r="A26" t="s">
        <v>11</v>
      </c>
      <c r="B26" s="1">
        <v>45222</v>
      </c>
      <c r="C26" t="s">
        <v>73</v>
      </c>
      <c r="D26">
        <v>-50</v>
      </c>
      <c r="E26" t="s">
        <v>74</v>
      </c>
      <c r="F26" t="s">
        <v>4</v>
      </c>
      <c r="G26" t="s">
        <v>15</v>
      </c>
      <c r="H26">
        <v>2023</v>
      </c>
      <c r="I26" t="s">
        <v>101</v>
      </c>
      <c r="J26" t="s">
        <v>102</v>
      </c>
    </row>
    <row r="27" spans="1:10" x14ac:dyDescent="0.25">
      <c r="A27" t="s">
        <v>11</v>
      </c>
      <c r="B27" s="1">
        <v>45257</v>
      </c>
      <c r="C27" t="s">
        <v>73</v>
      </c>
      <c r="D27">
        <v>-50</v>
      </c>
      <c r="E27" t="s">
        <v>74</v>
      </c>
      <c r="F27" t="s">
        <v>4</v>
      </c>
      <c r="G27" t="s">
        <v>15</v>
      </c>
      <c r="H27">
        <v>2023</v>
      </c>
      <c r="I27" t="s">
        <v>101</v>
      </c>
      <c r="J27" t="s">
        <v>153</v>
      </c>
    </row>
    <row r="28" spans="1:10" x14ac:dyDescent="0.25">
      <c r="A28" t="s">
        <v>11</v>
      </c>
      <c r="B28" s="1">
        <v>45250</v>
      </c>
      <c r="C28" t="s">
        <v>141</v>
      </c>
      <c r="D28">
        <v>-50</v>
      </c>
      <c r="E28" t="s">
        <v>3</v>
      </c>
      <c r="F28" t="s">
        <v>4</v>
      </c>
      <c r="G28" t="s">
        <v>5</v>
      </c>
      <c r="H28">
        <v>2023</v>
      </c>
      <c r="I28" t="s">
        <v>101</v>
      </c>
      <c r="J28" t="s">
        <v>153</v>
      </c>
    </row>
    <row r="29" spans="1:10" x14ac:dyDescent="0.25">
      <c r="A29" t="s">
        <v>11</v>
      </c>
      <c r="B29" s="1">
        <v>45286</v>
      </c>
      <c r="C29" t="s">
        <v>141</v>
      </c>
      <c r="D29">
        <v>-50</v>
      </c>
      <c r="E29" t="s">
        <v>3</v>
      </c>
      <c r="F29" t="s">
        <v>4</v>
      </c>
      <c r="G29" t="s">
        <v>5</v>
      </c>
      <c r="H29">
        <v>2023</v>
      </c>
      <c r="I29" t="s">
        <v>101</v>
      </c>
      <c r="J29" t="s">
        <v>157</v>
      </c>
    </row>
    <row r="30" spans="1:10" x14ac:dyDescent="0.25">
      <c r="A30" t="s">
        <v>11</v>
      </c>
      <c r="B30" s="1">
        <v>45271</v>
      </c>
      <c r="C30" t="s">
        <v>141</v>
      </c>
      <c r="D30">
        <v>-50</v>
      </c>
      <c r="E30" t="s">
        <v>3</v>
      </c>
      <c r="F30" t="s">
        <v>4</v>
      </c>
      <c r="G30" t="s">
        <v>5</v>
      </c>
      <c r="H30">
        <v>2023</v>
      </c>
      <c r="I30" t="s">
        <v>101</v>
      </c>
      <c r="J30" t="s">
        <v>157</v>
      </c>
    </row>
    <row r="31" spans="1:10" x14ac:dyDescent="0.25">
      <c r="A31" t="s">
        <v>11</v>
      </c>
      <c r="B31" s="1">
        <v>45279</v>
      </c>
      <c r="C31" t="s">
        <v>109</v>
      </c>
      <c r="D31">
        <v>-49.9</v>
      </c>
      <c r="E31" t="s">
        <v>154</v>
      </c>
      <c r="F31" t="s">
        <v>4</v>
      </c>
      <c r="G31" t="s">
        <v>155</v>
      </c>
      <c r="H31">
        <v>2023</v>
      </c>
      <c r="I31" t="s">
        <v>101</v>
      </c>
      <c r="J31" t="s">
        <v>157</v>
      </c>
    </row>
    <row r="32" spans="1:10" x14ac:dyDescent="0.25">
      <c r="A32" t="s">
        <v>11</v>
      </c>
      <c r="B32" s="1">
        <v>45282</v>
      </c>
      <c r="C32" t="s">
        <v>151</v>
      </c>
      <c r="D32">
        <v>-43</v>
      </c>
      <c r="E32" t="s">
        <v>83</v>
      </c>
      <c r="F32" t="s">
        <v>4</v>
      </c>
      <c r="G32" t="s">
        <v>67</v>
      </c>
      <c r="H32">
        <v>2023</v>
      </c>
      <c r="I32" t="s">
        <v>101</v>
      </c>
      <c r="J32" t="s">
        <v>157</v>
      </c>
    </row>
    <row r="33" spans="1:10" x14ac:dyDescent="0.25">
      <c r="A33" t="s">
        <v>11</v>
      </c>
      <c r="B33" s="1">
        <v>45250</v>
      </c>
      <c r="C33" t="s">
        <v>144</v>
      </c>
      <c r="D33">
        <v>-40</v>
      </c>
      <c r="E33" t="s">
        <v>50</v>
      </c>
      <c r="F33" t="s">
        <v>4</v>
      </c>
      <c r="G33" t="s">
        <v>16</v>
      </c>
      <c r="H33">
        <v>2023</v>
      </c>
      <c r="I33" t="s">
        <v>101</v>
      </c>
      <c r="J33" t="s">
        <v>153</v>
      </c>
    </row>
    <row r="34" spans="1:10" x14ac:dyDescent="0.25">
      <c r="A34" t="s">
        <v>11</v>
      </c>
      <c r="B34" s="1">
        <v>45201</v>
      </c>
      <c r="C34" t="s">
        <v>103</v>
      </c>
      <c r="D34">
        <v>-40</v>
      </c>
      <c r="E34" t="s">
        <v>3</v>
      </c>
      <c r="F34" t="s">
        <v>4</v>
      </c>
      <c r="G34" t="s">
        <v>5</v>
      </c>
      <c r="H34">
        <v>2023</v>
      </c>
      <c r="I34" t="s">
        <v>101</v>
      </c>
      <c r="J34" t="s">
        <v>102</v>
      </c>
    </row>
    <row r="35" spans="1:10" x14ac:dyDescent="0.25">
      <c r="A35" t="s">
        <v>11</v>
      </c>
      <c r="B35" s="1">
        <v>45215</v>
      </c>
      <c r="C35" t="s">
        <v>103</v>
      </c>
      <c r="D35">
        <v>-40</v>
      </c>
      <c r="E35" t="s">
        <v>3</v>
      </c>
      <c r="F35" t="s">
        <v>4</v>
      </c>
      <c r="G35" t="s">
        <v>5</v>
      </c>
      <c r="H35">
        <v>2023</v>
      </c>
      <c r="I35" t="s">
        <v>101</v>
      </c>
      <c r="J35" t="s">
        <v>102</v>
      </c>
    </row>
    <row r="36" spans="1:10" x14ac:dyDescent="0.25">
      <c r="A36" t="s">
        <v>11</v>
      </c>
      <c r="B36" s="1">
        <v>45217</v>
      </c>
      <c r="C36" t="s">
        <v>120</v>
      </c>
      <c r="D36">
        <v>-38.64</v>
      </c>
      <c r="E36" t="s">
        <v>62</v>
      </c>
      <c r="F36" t="s">
        <v>4</v>
      </c>
      <c r="G36" t="s">
        <v>5</v>
      </c>
      <c r="H36">
        <v>2023</v>
      </c>
      <c r="I36" t="s">
        <v>101</v>
      </c>
      <c r="J36" t="s">
        <v>102</v>
      </c>
    </row>
    <row r="37" spans="1:10" x14ac:dyDescent="0.25">
      <c r="A37" t="s">
        <v>11</v>
      </c>
      <c r="B37" s="1">
        <v>45196</v>
      </c>
      <c r="C37" t="s">
        <v>98</v>
      </c>
      <c r="D37">
        <v>-34.729999999999997</v>
      </c>
      <c r="E37" t="s">
        <v>63</v>
      </c>
      <c r="F37" t="s">
        <v>4</v>
      </c>
      <c r="G37" t="s">
        <v>5</v>
      </c>
      <c r="H37">
        <v>2023</v>
      </c>
      <c r="I37" t="s">
        <v>88</v>
      </c>
      <c r="J37" t="s">
        <v>22</v>
      </c>
    </row>
    <row r="38" spans="1:10" x14ac:dyDescent="0.25">
      <c r="A38" t="s">
        <v>11</v>
      </c>
      <c r="B38" s="1">
        <v>45192</v>
      </c>
      <c r="C38" t="s">
        <v>86</v>
      </c>
      <c r="D38">
        <v>-33.6</v>
      </c>
      <c r="E38" t="s">
        <v>59</v>
      </c>
      <c r="F38" t="s">
        <v>4</v>
      </c>
      <c r="G38" t="s">
        <v>60</v>
      </c>
      <c r="H38">
        <v>2023</v>
      </c>
      <c r="I38" t="s">
        <v>88</v>
      </c>
      <c r="J38" t="s">
        <v>22</v>
      </c>
    </row>
    <row r="39" spans="1:10" x14ac:dyDescent="0.25">
      <c r="A39" t="s">
        <v>11</v>
      </c>
      <c r="B39" s="1">
        <v>45222</v>
      </c>
      <c r="C39" t="s">
        <v>125</v>
      </c>
      <c r="D39">
        <v>-30</v>
      </c>
      <c r="E39" t="s">
        <v>83</v>
      </c>
      <c r="F39" t="s">
        <v>4</v>
      </c>
      <c r="G39" t="s">
        <v>67</v>
      </c>
      <c r="H39">
        <v>2023</v>
      </c>
      <c r="I39" t="s">
        <v>101</v>
      </c>
      <c r="J39" t="s">
        <v>102</v>
      </c>
    </row>
    <row r="40" spans="1:10" x14ac:dyDescent="0.25">
      <c r="A40" t="s">
        <v>11</v>
      </c>
      <c r="B40" s="1">
        <v>45217</v>
      </c>
      <c r="C40" t="s">
        <v>115</v>
      </c>
      <c r="D40">
        <v>-30</v>
      </c>
      <c r="E40" t="s">
        <v>108</v>
      </c>
      <c r="F40" t="s">
        <v>4</v>
      </c>
      <c r="G40" t="s">
        <v>107</v>
      </c>
      <c r="H40">
        <v>2023</v>
      </c>
      <c r="I40" t="s">
        <v>101</v>
      </c>
      <c r="J40" t="s">
        <v>102</v>
      </c>
    </row>
    <row r="41" spans="1:10" x14ac:dyDescent="0.25">
      <c r="A41" t="s">
        <v>11</v>
      </c>
      <c r="B41" s="1">
        <v>45222</v>
      </c>
      <c r="C41" t="s">
        <v>128</v>
      </c>
      <c r="D41">
        <v>-29.79</v>
      </c>
      <c r="E41" t="s">
        <v>57</v>
      </c>
      <c r="F41" t="s">
        <v>4</v>
      </c>
      <c r="G41" t="s">
        <v>56</v>
      </c>
      <c r="H41">
        <v>2023</v>
      </c>
      <c r="I41" t="s">
        <v>101</v>
      </c>
      <c r="J41" t="s">
        <v>102</v>
      </c>
    </row>
    <row r="42" spans="1:10" x14ac:dyDescent="0.25">
      <c r="A42" t="s">
        <v>11</v>
      </c>
      <c r="B42" s="1">
        <v>45191</v>
      </c>
      <c r="C42" t="s">
        <v>80</v>
      </c>
      <c r="D42">
        <v>-28.6</v>
      </c>
      <c r="E42" t="s">
        <v>68</v>
      </c>
      <c r="F42" t="s">
        <v>4</v>
      </c>
      <c r="G42" t="s">
        <v>67</v>
      </c>
      <c r="H42">
        <v>2023</v>
      </c>
      <c r="I42" t="s">
        <v>88</v>
      </c>
      <c r="J42" t="s">
        <v>22</v>
      </c>
    </row>
    <row r="43" spans="1:10" x14ac:dyDescent="0.25">
      <c r="A43" t="s">
        <v>11</v>
      </c>
      <c r="B43" s="1">
        <v>45250</v>
      </c>
      <c r="C43" t="s">
        <v>143</v>
      </c>
      <c r="D43">
        <v>-27.9</v>
      </c>
      <c r="E43" t="s">
        <v>57</v>
      </c>
      <c r="F43" t="s">
        <v>4</v>
      </c>
      <c r="G43" t="s">
        <v>56</v>
      </c>
      <c r="H43">
        <v>2023</v>
      </c>
      <c r="I43" t="s">
        <v>101</v>
      </c>
      <c r="J43" t="s">
        <v>153</v>
      </c>
    </row>
    <row r="44" spans="1:10" x14ac:dyDescent="0.25">
      <c r="A44" t="s">
        <v>11</v>
      </c>
      <c r="B44" s="1">
        <v>45229</v>
      </c>
      <c r="C44" t="s">
        <v>134</v>
      </c>
      <c r="D44">
        <v>-25</v>
      </c>
      <c r="E44" t="s">
        <v>53</v>
      </c>
      <c r="F44" t="s">
        <v>4</v>
      </c>
      <c r="G44" t="s">
        <v>16</v>
      </c>
      <c r="H44">
        <v>2023</v>
      </c>
      <c r="I44" t="s">
        <v>101</v>
      </c>
      <c r="J44" t="s">
        <v>102</v>
      </c>
    </row>
    <row r="45" spans="1:10" x14ac:dyDescent="0.25">
      <c r="A45" t="s">
        <v>11</v>
      </c>
      <c r="B45" s="1">
        <v>45257</v>
      </c>
      <c r="C45" t="s">
        <v>134</v>
      </c>
      <c r="D45">
        <v>-25</v>
      </c>
      <c r="E45" t="s">
        <v>53</v>
      </c>
      <c r="F45" t="s">
        <v>4</v>
      </c>
      <c r="G45" t="s">
        <v>16</v>
      </c>
      <c r="H45">
        <v>2023</v>
      </c>
      <c r="I45" t="s">
        <v>101</v>
      </c>
      <c r="J45" t="s">
        <v>153</v>
      </c>
    </row>
    <row r="46" spans="1:10" x14ac:dyDescent="0.25">
      <c r="A46" t="s">
        <v>11</v>
      </c>
      <c r="B46" s="1">
        <v>45286</v>
      </c>
      <c r="C46" t="s">
        <v>134</v>
      </c>
      <c r="D46">
        <v>-25</v>
      </c>
      <c r="E46" t="s">
        <v>53</v>
      </c>
      <c r="F46" t="s">
        <v>4</v>
      </c>
      <c r="G46" t="s">
        <v>16</v>
      </c>
      <c r="H46">
        <v>2023</v>
      </c>
      <c r="I46" t="s">
        <v>101</v>
      </c>
      <c r="J46" t="s">
        <v>157</v>
      </c>
    </row>
    <row r="47" spans="1:10" x14ac:dyDescent="0.25">
      <c r="A47" t="s">
        <v>11</v>
      </c>
      <c r="B47" s="1">
        <v>45271</v>
      </c>
      <c r="C47" t="s">
        <v>134</v>
      </c>
      <c r="D47">
        <v>-25</v>
      </c>
      <c r="E47" t="s">
        <v>53</v>
      </c>
      <c r="F47" t="s">
        <v>4</v>
      </c>
      <c r="G47" t="s">
        <v>16</v>
      </c>
      <c r="H47">
        <v>2023</v>
      </c>
      <c r="I47" t="s">
        <v>101</v>
      </c>
      <c r="J47" t="s">
        <v>157</v>
      </c>
    </row>
    <row r="48" spans="1:10" x14ac:dyDescent="0.25">
      <c r="A48" t="s">
        <v>11</v>
      </c>
      <c r="B48" s="1">
        <v>45222</v>
      </c>
      <c r="C48" t="s">
        <v>124</v>
      </c>
      <c r="D48">
        <v>-24.3</v>
      </c>
      <c r="E48" t="s">
        <v>72</v>
      </c>
      <c r="F48" t="s">
        <v>4</v>
      </c>
      <c r="G48" t="s">
        <v>16</v>
      </c>
      <c r="H48">
        <v>2023</v>
      </c>
      <c r="I48" t="s">
        <v>101</v>
      </c>
      <c r="J48" t="s">
        <v>102</v>
      </c>
    </row>
    <row r="49" spans="1:10" x14ac:dyDescent="0.25">
      <c r="A49" t="s">
        <v>11</v>
      </c>
      <c r="B49" s="1">
        <v>45208</v>
      </c>
      <c r="C49" t="s">
        <v>106</v>
      </c>
      <c r="D49">
        <v>-22.5</v>
      </c>
      <c r="E49" t="s">
        <v>108</v>
      </c>
      <c r="F49" t="s">
        <v>4</v>
      </c>
      <c r="G49" t="s">
        <v>107</v>
      </c>
      <c r="H49">
        <v>2023</v>
      </c>
      <c r="I49" t="s">
        <v>101</v>
      </c>
      <c r="J49" t="s">
        <v>102</v>
      </c>
    </row>
    <row r="50" spans="1:10" x14ac:dyDescent="0.25">
      <c r="A50" t="s">
        <v>11</v>
      </c>
      <c r="B50" s="1">
        <v>45243</v>
      </c>
      <c r="C50" t="s">
        <v>85</v>
      </c>
      <c r="D50">
        <v>-22</v>
      </c>
      <c r="E50" t="s">
        <v>83</v>
      </c>
      <c r="F50" t="s">
        <v>4</v>
      </c>
      <c r="G50" t="s">
        <v>67</v>
      </c>
      <c r="H50">
        <v>2023</v>
      </c>
      <c r="I50" t="s">
        <v>101</v>
      </c>
      <c r="J50" t="s">
        <v>153</v>
      </c>
    </row>
    <row r="51" spans="1:10" x14ac:dyDescent="0.25">
      <c r="A51" t="s">
        <v>11</v>
      </c>
      <c r="B51" s="1">
        <v>45192</v>
      </c>
      <c r="C51" t="s">
        <v>84</v>
      </c>
      <c r="D51">
        <v>-20</v>
      </c>
      <c r="E51" t="s">
        <v>54</v>
      </c>
      <c r="F51" t="s">
        <v>4</v>
      </c>
      <c r="G51" t="s">
        <v>16</v>
      </c>
      <c r="H51">
        <v>2023</v>
      </c>
      <c r="I51" t="s">
        <v>88</v>
      </c>
      <c r="J51" t="s">
        <v>22</v>
      </c>
    </row>
    <row r="52" spans="1:10" x14ac:dyDescent="0.25">
      <c r="A52" t="s">
        <v>11</v>
      </c>
      <c r="B52" s="1">
        <v>45212</v>
      </c>
      <c r="C52" t="s">
        <v>112</v>
      </c>
      <c r="D52">
        <v>-20</v>
      </c>
      <c r="E52" t="s">
        <v>83</v>
      </c>
      <c r="F52" t="s">
        <v>4</v>
      </c>
      <c r="G52" t="s">
        <v>67</v>
      </c>
      <c r="H52">
        <v>2023</v>
      </c>
      <c r="I52" t="s">
        <v>101</v>
      </c>
      <c r="J52" t="s">
        <v>102</v>
      </c>
    </row>
    <row r="53" spans="1:10" x14ac:dyDescent="0.25">
      <c r="A53" t="s">
        <v>11</v>
      </c>
      <c r="B53" s="1">
        <v>45196</v>
      </c>
      <c r="C53" t="s">
        <v>99</v>
      </c>
      <c r="D53">
        <v>-20</v>
      </c>
      <c r="E53" t="s">
        <v>50</v>
      </c>
      <c r="F53" t="s">
        <v>4</v>
      </c>
      <c r="G53" t="s">
        <v>16</v>
      </c>
      <c r="H53">
        <v>2023</v>
      </c>
      <c r="I53" t="s">
        <v>88</v>
      </c>
      <c r="J53" t="s">
        <v>22</v>
      </c>
    </row>
    <row r="54" spans="1:10" x14ac:dyDescent="0.25">
      <c r="A54" t="s">
        <v>11</v>
      </c>
      <c r="B54" s="1">
        <v>45196</v>
      </c>
      <c r="C54" t="s">
        <v>99</v>
      </c>
      <c r="D54">
        <v>-20</v>
      </c>
      <c r="E54" t="s">
        <v>50</v>
      </c>
      <c r="F54" t="s">
        <v>4</v>
      </c>
      <c r="G54" t="s">
        <v>16</v>
      </c>
      <c r="H54">
        <v>2023</v>
      </c>
      <c r="I54" t="s">
        <v>88</v>
      </c>
      <c r="J54" t="s">
        <v>22</v>
      </c>
    </row>
    <row r="55" spans="1:10" x14ac:dyDescent="0.25">
      <c r="A55" t="s">
        <v>11</v>
      </c>
      <c r="B55" s="1">
        <v>45192</v>
      </c>
      <c r="C55" t="s">
        <v>85</v>
      </c>
      <c r="D55">
        <v>-18</v>
      </c>
      <c r="E55" t="s">
        <v>83</v>
      </c>
      <c r="F55" t="s">
        <v>4</v>
      </c>
      <c r="G55" t="s">
        <v>67</v>
      </c>
      <c r="H55">
        <v>2023</v>
      </c>
      <c r="I55" t="s">
        <v>88</v>
      </c>
      <c r="J55" t="s">
        <v>22</v>
      </c>
    </row>
    <row r="56" spans="1:10" x14ac:dyDescent="0.25">
      <c r="A56" t="s">
        <v>11</v>
      </c>
      <c r="B56" s="1">
        <v>45264</v>
      </c>
      <c r="C56" t="s">
        <v>148</v>
      </c>
      <c r="D56">
        <v>-18</v>
      </c>
      <c r="E56" t="s">
        <v>83</v>
      </c>
      <c r="F56" t="s">
        <v>4</v>
      </c>
      <c r="G56" t="s">
        <v>67</v>
      </c>
      <c r="H56">
        <v>2023</v>
      </c>
      <c r="I56" t="s">
        <v>101</v>
      </c>
      <c r="J56" t="s">
        <v>157</v>
      </c>
    </row>
    <row r="57" spans="1:10" x14ac:dyDescent="0.25">
      <c r="A57" t="s">
        <v>11</v>
      </c>
      <c r="B57" s="1">
        <v>45223</v>
      </c>
      <c r="C57" t="s">
        <v>129</v>
      </c>
      <c r="D57">
        <v>-17.3</v>
      </c>
      <c r="E57" t="s">
        <v>72</v>
      </c>
      <c r="F57" t="s">
        <v>4</v>
      </c>
      <c r="G57" t="s">
        <v>16</v>
      </c>
      <c r="H57">
        <v>2023</v>
      </c>
      <c r="I57" t="s">
        <v>101</v>
      </c>
      <c r="J57" t="s">
        <v>102</v>
      </c>
    </row>
    <row r="58" spans="1:10" x14ac:dyDescent="0.25">
      <c r="A58" t="s">
        <v>11</v>
      </c>
      <c r="B58" s="1">
        <v>45223</v>
      </c>
      <c r="C58" t="s">
        <v>130</v>
      </c>
      <c r="D58">
        <v>-16.7</v>
      </c>
      <c r="E58" t="s">
        <v>72</v>
      </c>
      <c r="F58" t="s">
        <v>4</v>
      </c>
      <c r="G58" t="s">
        <v>16</v>
      </c>
      <c r="H58">
        <v>2023</v>
      </c>
      <c r="I58" t="s">
        <v>101</v>
      </c>
      <c r="J58" t="s">
        <v>102</v>
      </c>
    </row>
    <row r="59" spans="1:10" x14ac:dyDescent="0.25">
      <c r="A59" t="s">
        <v>11</v>
      </c>
      <c r="B59" s="1">
        <v>45223</v>
      </c>
      <c r="C59" t="s">
        <v>132</v>
      </c>
      <c r="D59">
        <v>-16</v>
      </c>
      <c r="E59" t="s">
        <v>83</v>
      </c>
      <c r="F59" t="s">
        <v>4</v>
      </c>
      <c r="G59" t="s">
        <v>67</v>
      </c>
      <c r="H59">
        <v>2023</v>
      </c>
      <c r="I59" t="s">
        <v>101</v>
      </c>
      <c r="J59" t="s">
        <v>102</v>
      </c>
    </row>
    <row r="60" spans="1:10" x14ac:dyDescent="0.25">
      <c r="A60" t="s">
        <v>11</v>
      </c>
      <c r="B60" s="1">
        <v>45222</v>
      </c>
      <c r="C60" t="s">
        <v>125</v>
      </c>
      <c r="D60">
        <v>-15</v>
      </c>
      <c r="E60" t="s">
        <v>83</v>
      </c>
      <c r="F60" t="s">
        <v>4</v>
      </c>
      <c r="G60" t="s">
        <v>67</v>
      </c>
      <c r="H60">
        <v>2023</v>
      </c>
      <c r="I60" t="s">
        <v>101</v>
      </c>
      <c r="J60" t="s">
        <v>102</v>
      </c>
    </row>
    <row r="61" spans="1:10" x14ac:dyDescent="0.25">
      <c r="A61" t="s">
        <v>11</v>
      </c>
      <c r="B61" s="1">
        <v>45287</v>
      </c>
      <c r="C61" t="s">
        <v>121</v>
      </c>
      <c r="D61">
        <v>-14</v>
      </c>
      <c r="E61" t="s">
        <v>83</v>
      </c>
      <c r="F61" t="s">
        <v>4</v>
      </c>
      <c r="G61" t="s">
        <v>67</v>
      </c>
      <c r="H61">
        <v>2023</v>
      </c>
      <c r="I61" t="s">
        <v>101</v>
      </c>
      <c r="J61" t="s">
        <v>157</v>
      </c>
    </row>
    <row r="62" spans="1:10" x14ac:dyDescent="0.25">
      <c r="A62" t="s">
        <v>11</v>
      </c>
      <c r="B62" s="1">
        <v>45223</v>
      </c>
      <c r="C62" t="s">
        <v>131</v>
      </c>
      <c r="D62">
        <v>-12.75</v>
      </c>
      <c r="E62" t="s">
        <v>83</v>
      </c>
      <c r="F62" t="s">
        <v>4</v>
      </c>
      <c r="G62" t="s">
        <v>67</v>
      </c>
      <c r="H62">
        <v>2023</v>
      </c>
      <c r="I62" t="s">
        <v>101</v>
      </c>
      <c r="J62" t="s">
        <v>102</v>
      </c>
    </row>
    <row r="63" spans="1:10" x14ac:dyDescent="0.25">
      <c r="A63" t="s">
        <v>11</v>
      </c>
      <c r="B63" s="1">
        <v>45250</v>
      </c>
      <c r="C63" t="s">
        <v>145</v>
      </c>
      <c r="D63">
        <v>-12.5</v>
      </c>
      <c r="E63" t="s">
        <v>83</v>
      </c>
      <c r="F63" t="s">
        <v>4</v>
      </c>
      <c r="G63" t="s">
        <v>67</v>
      </c>
      <c r="H63">
        <v>2023</v>
      </c>
      <c r="I63" t="s">
        <v>101</v>
      </c>
      <c r="J63" t="s">
        <v>153</v>
      </c>
    </row>
    <row r="64" spans="1:10" x14ac:dyDescent="0.25">
      <c r="A64" t="s">
        <v>11</v>
      </c>
      <c r="B64" s="1">
        <v>45191</v>
      </c>
      <c r="C64" t="s">
        <v>47</v>
      </c>
      <c r="D64">
        <v>-12</v>
      </c>
      <c r="E64" t="s">
        <v>83</v>
      </c>
      <c r="F64" t="s">
        <v>4</v>
      </c>
      <c r="G64" t="s">
        <v>67</v>
      </c>
      <c r="H64">
        <v>2023</v>
      </c>
      <c r="I64" t="s">
        <v>88</v>
      </c>
      <c r="J64" t="s">
        <v>22</v>
      </c>
    </row>
    <row r="65" spans="1:10" x14ac:dyDescent="0.25">
      <c r="A65" t="s">
        <v>11</v>
      </c>
      <c r="B65" s="1">
        <v>45282</v>
      </c>
      <c r="C65" t="s">
        <v>121</v>
      </c>
      <c r="D65">
        <v>-12</v>
      </c>
      <c r="E65" t="s">
        <v>83</v>
      </c>
      <c r="F65" t="s">
        <v>4</v>
      </c>
      <c r="G65" t="s">
        <v>67</v>
      </c>
      <c r="H65">
        <v>2023</v>
      </c>
      <c r="I65" t="s">
        <v>101</v>
      </c>
      <c r="J65" t="s">
        <v>157</v>
      </c>
    </row>
    <row r="66" spans="1:10" x14ac:dyDescent="0.25">
      <c r="A66" t="s">
        <v>11</v>
      </c>
      <c r="B66" s="1">
        <v>45261</v>
      </c>
      <c r="C66" t="s">
        <v>47</v>
      </c>
      <c r="D66">
        <v>-12</v>
      </c>
      <c r="E66" t="s">
        <v>83</v>
      </c>
      <c r="F66" t="s">
        <v>4</v>
      </c>
      <c r="G66" t="s">
        <v>67</v>
      </c>
      <c r="H66">
        <v>2023</v>
      </c>
      <c r="I66" t="s">
        <v>101</v>
      </c>
      <c r="J66" t="s">
        <v>157</v>
      </c>
    </row>
    <row r="67" spans="1:10" x14ac:dyDescent="0.25">
      <c r="A67" t="s">
        <v>11</v>
      </c>
      <c r="B67" s="1">
        <v>45219</v>
      </c>
      <c r="C67" t="s">
        <v>121</v>
      </c>
      <c r="D67">
        <v>-11.5</v>
      </c>
      <c r="E67" t="s">
        <v>83</v>
      </c>
      <c r="F67" t="s">
        <v>4</v>
      </c>
      <c r="G67" t="s">
        <v>67</v>
      </c>
      <c r="H67">
        <v>2023</v>
      </c>
      <c r="I67" t="s">
        <v>101</v>
      </c>
      <c r="J67" t="s">
        <v>102</v>
      </c>
    </row>
    <row r="68" spans="1:10" x14ac:dyDescent="0.25">
      <c r="A68" t="s">
        <v>11</v>
      </c>
      <c r="B68" s="1">
        <v>45279</v>
      </c>
      <c r="C68" t="s">
        <v>121</v>
      </c>
      <c r="D68">
        <v>-11.5</v>
      </c>
      <c r="E68" t="s">
        <v>83</v>
      </c>
      <c r="F68" t="s">
        <v>4</v>
      </c>
      <c r="G68" t="s">
        <v>67</v>
      </c>
      <c r="H68">
        <v>2023</v>
      </c>
      <c r="I68" t="s">
        <v>101</v>
      </c>
      <c r="J68" t="s">
        <v>157</v>
      </c>
    </row>
    <row r="69" spans="1:10" x14ac:dyDescent="0.25">
      <c r="A69" t="s">
        <v>11</v>
      </c>
      <c r="B69" s="1">
        <v>45266</v>
      </c>
      <c r="C69" t="s">
        <v>121</v>
      </c>
      <c r="D69">
        <v>-10</v>
      </c>
      <c r="E69" t="s">
        <v>83</v>
      </c>
      <c r="F69" t="s">
        <v>4</v>
      </c>
      <c r="G69" t="s">
        <v>67</v>
      </c>
      <c r="H69">
        <v>2023</v>
      </c>
      <c r="I69" t="s">
        <v>101</v>
      </c>
      <c r="J69" t="s">
        <v>157</v>
      </c>
    </row>
    <row r="70" spans="1:10" x14ac:dyDescent="0.25">
      <c r="A70" t="s">
        <v>11</v>
      </c>
      <c r="B70" s="1">
        <v>45266</v>
      </c>
      <c r="C70" t="s">
        <v>137</v>
      </c>
      <c r="D70">
        <v>-10</v>
      </c>
      <c r="E70" t="s">
        <v>50</v>
      </c>
      <c r="F70" t="s">
        <v>4</v>
      </c>
      <c r="G70" t="s">
        <v>16</v>
      </c>
      <c r="H70">
        <v>2023</v>
      </c>
      <c r="I70" t="s">
        <v>101</v>
      </c>
      <c r="J70" t="s">
        <v>157</v>
      </c>
    </row>
    <row r="71" spans="1:10" x14ac:dyDescent="0.25">
      <c r="A71" t="s">
        <v>11</v>
      </c>
      <c r="B71" s="1">
        <v>45278</v>
      </c>
      <c r="C71" t="s">
        <v>121</v>
      </c>
      <c r="D71">
        <v>-9</v>
      </c>
      <c r="E71" t="s">
        <v>83</v>
      </c>
      <c r="F71" t="s">
        <v>4</v>
      </c>
      <c r="G71" t="s">
        <v>67</v>
      </c>
      <c r="H71">
        <v>2023</v>
      </c>
      <c r="I71" t="s">
        <v>101</v>
      </c>
      <c r="J71" t="s">
        <v>157</v>
      </c>
    </row>
    <row r="72" spans="1:10" x14ac:dyDescent="0.25">
      <c r="A72" t="s">
        <v>11</v>
      </c>
      <c r="B72" s="1">
        <v>45265</v>
      </c>
      <c r="C72" t="s">
        <v>121</v>
      </c>
      <c r="D72">
        <v>-9</v>
      </c>
      <c r="E72" t="s">
        <v>83</v>
      </c>
      <c r="F72" t="s">
        <v>4</v>
      </c>
      <c r="G72" t="s">
        <v>67</v>
      </c>
      <c r="H72">
        <v>2023</v>
      </c>
      <c r="I72" t="s">
        <v>101</v>
      </c>
      <c r="J72" t="s">
        <v>157</v>
      </c>
    </row>
    <row r="73" spans="1:10" x14ac:dyDescent="0.25">
      <c r="A73" t="s">
        <v>11</v>
      </c>
      <c r="B73" s="1">
        <v>45267</v>
      </c>
      <c r="C73" t="s">
        <v>121</v>
      </c>
      <c r="D73">
        <v>-9</v>
      </c>
      <c r="E73" t="s">
        <v>83</v>
      </c>
      <c r="F73" t="s">
        <v>4</v>
      </c>
      <c r="G73" t="s">
        <v>67</v>
      </c>
      <c r="H73">
        <v>2023</v>
      </c>
      <c r="I73" t="s">
        <v>101</v>
      </c>
      <c r="J73" t="s">
        <v>157</v>
      </c>
    </row>
    <row r="74" spans="1:10" x14ac:dyDescent="0.25">
      <c r="A74" t="s">
        <v>11</v>
      </c>
      <c r="B74" s="1">
        <v>45268</v>
      </c>
      <c r="C74" t="s">
        <v>121</v>
      </c>
      <c r="D74">
        <v>-9</v>
      </c>
      <c r="E74" t="s">
        <v>83</v>
      </c>
      <c r="F74" t="s">
        <v>4</v>
      </c>
      <c r="G74" t="s">
        <v>67</v>
      </c>
      <c r="H74">
        <v>2023</v>
      </c>
      <c r="I74" t="s">
        <v>101</v>
      </c>
      <c r="J74" t="s">
        <v>157</v>
      </c>
    </row>
    <row r="75" spans="1:10" x14ac:dyDescent="0.25">
      <c r="A75" t="s">
        <v>11</v>
      </c>
      <c r="B75" s="1">
        <v>45237</v>
      </c>
      <c r="C75" t="s">
        <v>121</v>
      </c>
      <c r="D75">
        <v>-8.5</v>
      </c>
      <c r="E75" t="s">
        <v>83</v>
      </c>
      <c r="F75" t="s">
        <v>4</v>
      </c>
      <c r="G75" t="s">
        <v>67</v>
      </c>
      <c r="H75">
        <v>2023</v>
      </c>
      <c r="I75" t="s">
        <v>101</v>
      </c>
      <c r="J75" t="s">
        <v>153</v>
      </c>
    </row>
    <row r="76" spans="1:10" x14ac:dyDescent="0.25">
      <c r="A76" t="s">
        <v>11</v>
      </c>
      <c r="B76" s="1">
        <v>45243</v>
      </c>
      <c r="C76" t="s">
        <v>121</v>
      </c>
      <c r="D76">
        <v>-8</v>
      </c>
      <c r="E76" t="s">
        <v>83</v>
      </c>
      <c r="F76" t="s">
        <v>4</v>
      </c>
      <c r="G76" t="s">
        <v>67</v>
      </c>
      <c r="H76">
        <v>2023</v>
      </c>
      <c r="I76" t="s">
        <v>101</v>
      </c>
      <c r="J76" t="s">
        <v>153</v>
      </c>
    </row>
    <row r="77" spans="1:10" x14ac:dyDescent="0.25">
      <c r="A77" t="s">
        <v>11</v>
      </c>
      <c r="B77" s="1">
        <v>45288</v>
      </c>
      <c r="C77" t="s">
        <v>121</v>
      </c>
      <c r="D77">
        <v>-8</v>
      </c>
      <c r="E77" t="s">
        <v>83</v>
      </c>
      <c r="F77" t="s">
        <v>4</v>
      </c>
      <c r="G77" t="s">
        <v>67</v>
      </c>
      <c r="H77">
        <v>2023</v>
      </c>
      <c r="I77" t="s">
        <v>101</v>
      </c>
      <c r="J77" t="s">
        <v>157</v>
      </c>
    </row>
    <row r="78" spans="1:10" x14ac:dyDescent="0.25">
      <c r="A78" t="s">
        <v>11</v>
      </c>
      <c r="B78" s="1">
        <v>45278</v>
      </c>
      <c r="C78" t="s">
        <v>121</v>
      </c>
      <c r="D78">
        <v>-8</v>
      </c>
      <c r="E78" t="s">
        <v>83</v>
      </c>
      <c r="F78" t="s">
        <v>4</v>
      </c>
      <c r="G78" t="s">
        <v>67</v>
      </c>
      <c r="H78">
        <v>2023</v>
      </c>
      <c r="I78" t="s">
        <v>101</v>
      </c>
      <c r="J78" t="s">
        <v>157</v>
      </c>
    </row>
    <row r="79" spans="1:10" x14ac:dyDescent="0.25">
      <c r="A79" t="s">
        <v>11</v>
      </c>
      <c r="B79" s="1">
        <v>45250</v>
      </c>
      <c r="C79" t="s">
        <v>142</v>
      </c>
      <c r="D79">
        <v>-7.5</v>
      </c>
      <c r="E79" t="s">
        <v>83</v>
      </c>
      <c r="F79" t="s">
        <v>4</v>
      </c>
      <c r="G79" t="s">
        <v>67</v>
      </c>
      <c r="H79">
        <v>2023</v>
      </c>
      <c r="I79" t="s">
        <v>101</v>
      </c>
      <c r="J79" t="s">
        <v>153</v>
      </c>
    </row>
    <row r="80" spans="1:10" x14ac:dyDescent="0.25">
      <c r="A80" t="s">
        <v>11</v>
      </c>
      <c r="B80" s="1">
        <v>45201</v>
      </c>
      <c r="C80" t="s">
        <v>75</v>
      </c>
      <c r="D80">
        <v>-7</v>
      </c>
      <c r="E80" t="s">
        <v>83</v>
      </c>
      <c r="F80" t="s">
        <v>4</v>
      </c>
      <c r="G80" t="s">
        <v>67</v>
      </c>
      <c r="H80">
        <v>2023</v>
      </c>
      <c r="I80" t="s">
        <v>101</v>
      </c>
      <c r="J80" t="s">
        <v>102</v>
      </c>
    </row>
    <row r="81" spans="1:10" x14ac:dyDescent="0.25">
      <c r="A81" t="s">
        <v>11</v>
      </c>
      <c r="B81" s="1">
        <v>45247</v>
      </c>
      <c r="C81" t="s">
        <v>140</v>
      </c>
      <c r="D81">
        <v>-7</v>
      </c>
      <c r="E81" t="s">
        <v>83</v>
      </c>
      <c r="F81" t="s">
        <v>4</v>
      </c>
      <c r="G81" t="s">
        <v>67</v>
      </c>
      <c r="H81">
        <v>2023</v>
      </c>
      <c r="I81" t="s">
        <v>101</v>
      </c>
      <c r="J81" t="s">
        <v>153</v>
      </c>
    </row>
    <row r="82" spans="1:10" x14ac:dyDescent="0.25">
      <c r="A82" t="s">
        <v>11</v>
      </c>
      <c r="B82" s="1">
        <v>45252</v>
      </c>
      <c r="C82" t="s">
        <v>121</v>
      </c>
      <c r="D82">
        <v>-7</v>
      </c>
      <c r="E82" t="s">
        <v>83</v>
      </c>
      <c r="F82" t="s">
        <v>4</v>
      </c>
      <c r="G82" t="s">
        <v>67</v>
      </c>
      <c r="H82">
        <v>2023</v>
      </c>
      <c r="I82" t="s">
        <v>101</v>
      </c>
      <c r="J82" t="s">
        <v>153</v>
      </c>
    </row>
    <row r="83" spans="1:10" x14ac:dyDescent="0.25">
      <c r="A83" t="s">
        <v>11</v>
      </c>
      <c r="B83" s="1">
        <v>45280</v>
      </c>
      <c r="C83" t="s">
        <v>121</v>
      </c>
      <c r="D83">
        <v>-7</v>
      </c>
      <c r="E83" t="s">
        <v>83</v>
      </c>
      <c r="F83" t="s">
        <v>4</v>
      </c>
      <c r="G83" t="s">
        <v>67</v>
      </c>
      <c r="H83">
        <v>2023</v>
      </c>
      <c r="I83" t="s">
        <v>101</v>
      </c>
      <c r="J83" t="s">
        <v>157</v>
      </c>
    </row>
    <row r="84" spans="1:10" x14ac:dyDescent="0.25">
      <c r="A84" t="s">
        <v>11</v>
      </c>
      <c r="B84" s="1">
        <v>45268</v>
      </c>
      <c r="C84" t="s">
        <v>121</v>
      </c>
      <c r="D84">
        <v>-7</v>
      </c>
      <c r="E84" t="s">
        <v>83</v>
      </c>
      <c r="F84" t="s">
        <v>4</v>
      </c>
      <c r="G84" t="s">
        <v>67</v>
      </c>
      <c r="H84">
        <v>2023</v>
      </c>
      <c r="I84" t="s">
        <v>101</v>
      </c>
      <c r="J84" t="s">
        <v>157</v>
      </c>
    </row>
    <row r="85" spans="1:10" x14ac:dyDescent="0.25">
      <c r="A85" t="s">
        <v>11</v>
      </c>
      <c r="B85" s="1">
        <v>45231</v>
      </c>
      <c r="C85" t="s">
        <v>135</v>
      </c>
      <c r="D85">
        <v>-6.48</v>
      </c>
      <c r="E85" t="s">
        <v>57</v>
      </c>
      <c r="F85" t="s">
        <v>4</v>
      </c>
      <c r="G85" t="s">
        <v>56</v>
      </c>
      <c r="H85">
        <v>2023</v>
      </c>
      <c r="I85" t="s">
        <v>101</v>
      </c>
      <c r="J85" t="s">
        <v>153</v>
      </c>
    </row>
    <row r="86" spans="1:10" x14ac:dyDescent="0.25">
      <c r="A86" t="s">
        <v>100</v>
      </c>
      <c r="B86" s="1">
        <v>45196</v>
      </c>
      <c r="C86" t="s">
        <v>75</v>
      </c>
      <c r="D86">
        <v>-6</v>
      </c>
      <c r="E86" t="s">
        <v>83</v>
      </c>
      <c r="F86" t="s">
        <v>4</v>
      </c>
      <c r="G86" t="s">
        <v>67</v>
      </c>
      <c r="H86">
        <v>2023</v>
      </c>
      <c r="I86" t="s">
        <v>88</v>
      </c>
      <c r="J86" t="s">
        <v>22</v>
      </c>
    </row>
    <row r="87" spans="1:10" x14ac:dyDescent="0.25">
      <c r="A87" t="s">
        <v>11</v>
      </c>
      <c r="B87" s="1">
        <v>45197</v>
      </c>
      <c r="C87" t="s">
        <v>75</v>
      </c>
      <c r="D87">
        <v>-6</v>
      </c>
      <c r="E87" t="s">
        <v>83</v>
      </c>
      <c r="F87" t="s">
        <v>4</v>
      </c>
      <c r="G87" t="s">
        <v>67</v>
      </c>
      <c r="H87">
        <v>2023</v>
      </c>
      <c r="I87" t="s">
        <v>88</v>
      </c>
      <c r="J87" t="s">
        <v>22</v>
      </c>
    </row>
    <row r="88" spans="1:10" x14ac:dyDescent="0.25">
      <c r="A88" t="s">
        <v>100</v>
      </c>
      <c r="B88" s="1">
        <v>45198</v>
      </c>
      <c r="C88" t="s">
        <v>75</v>
      </c>
      <c r="D88">
        <v>-6</v>
      </c>
      <c r="E88" t="s">
        <v>83</v>
      </c>
      <c r="F88" t="s">
        <v>4</v>
      </c>
      <c r="G88" t="s">
        <v>67</v>
      </c>
      <c r="H88">
        <v>2023</v>
      </c>
      <c r="I88" t="s">
        <v>88</v>
      </c>
      <c r="J88" t="s">
        <v>22</v>
      </c>
    </row>
    <row r="89" spans="1:10" x14ac:dyDescent="0.25">
      <c r="A89" t="s">
        <v>11</v>
      </c>
      <c r="B89" s="1">
        <v>45198</v>
      </c>
      <c r="C89" t="s">
        <v>75</v>
      </c>
      <c r="D89">
        <v>-6</v>
      </c>
      <c r="E89" t="s">
        <v>83</v>
      </c>
      <c r="F89" t="s">
        <v>4</v>
      </c>
      <c r="G89" t="s">
        <v>67</v>
      </c>
      <c r="H89">
        <v>2023</v>
      </c>
      <c r="I89" t="s">
        <v>88</v>
      </c>
      <c r="J89" t="s">
        <v>22</v>
      </c>
    </row>
    <row r="90" spans="1:10" x14ac:dyDescent="0.25">
      <c r="A90" t="s">
        <v>11</v>
      </c>
      <c r="B90" s="1">
        <v>45198</v>
      </c>
      <c r="C90" t="s">
        <v>75</v>
      </c>
      <c r="D90">
        <v>-6</v>
      </c>
      <c r="E90" t="s">
        <v>83</v>
      </c>
      <c r="F90" t="s">
        <v>4</v>
      </c>
      <c r="G90" t="s">
        <v>67</v>
      </c>
      <c r="H90">
        <v>2023</v>
      </c>
      <c r="I90" t="s">
        <v>88</v>
      </c>
      <c r="J90" t="s">
        <v>22</v>
      </c>
    </row>
    <row r="91" spans="1:10" x14ac:dyDescent="0.25">
      <c r="A91" t="s">
        <v>11</v>
      </c>
      <c r="B91" s="1">
        <v>45218</v>
      </c>
      <c r="C91" t="s">
        <v>121</v>
      </c>
      <c r="D91">
        <v>-6</v>
      </c>
      <c r="E91" t="s">
        <v>83</v>
      </c>
      <c r="F91" t="s">
        <v>4</v>
      </c>
      <c r="G91" t="s">
        <v>67</v>
      </c>
      <c r="H91">
        <v>2023</v>
      </c>
      <c r="I91" t="s">
        <v>101</v>
      </c>
      <c r="J91" t="s">
        <v>102</v>
      </c>
    </row>
    <row r="92" spans="1:10" x14ac:dyDescent="0.25">
      <c r="A92" t="s">
        <v>11</v>
      </c>
      <c r="B92" s="1">
        <v>45222</v>
      </c>
      <c r="C92" t="s">
        <v>123</v>
      </c>
      <c r="D92">
        <v>-6</v>
      </c>
      <c r="E92" t="s">
        <v>83</v>
      </c>
      <c r="F92" t="s">
        <v>4</v>
      </c>
      <c r="G92" t="s">
        <v>67</v>
      </c>
      <c r="H92">
        <v>2023</v>
      </c>
      <c r="I92" t="s">
        <v>101</v>
      </c>
      <c r="J92" t="s">
        <v>102</v>
      </c>
    </row>
    <row r="93" spans="1:10" x14ac:dyDescent="0.25">
      <c r="A93" t="s">
        <v>11</v>
      </c>
      <c r="B93" s="1">
        <v>45229</v>
      </c>
      <c r="C93" t="s">
        <v>121</v>
      </c>
      <c r="D93">
        <v>-6</v>
      </c>
      <c r="E93" t="s">
        <v>83</v>
      </c>
      <c r="F93" t="s">
        <v>4</v>
      </c>
      <c r="G93" t="s">
        <v>67</v>
      </c>
      <c r="H93">
        <v>2023</v>
      </c>
      <c r="I93" t="s">
        <v>101</v>
      </c>
      <c r="J93" t="s">
        <v>102</v>
      </c>
    </row>
    <row r="94" spans="1:10" x14ac:dyDescent="0.25">
      <c r="A94" t="s">
        <v>11</v>
      </c>
      <c r="B94" s="1">
        <v>45229</v>
      </c>
      <c r="C94" t="s">
        <v>121</v>
      </c>
      <c r="D94">
        <v>-6</v>
      </c>
      <c r="E94" t="s">
        <v>83</v>
      </c>
      <c r="F94" t="s">
        <v>4</v>
      </c>
      <c r="G94" t="s">
        <v>67</v>
      </c>
      <c r="H94">
        <v>2023</v>
      </c>
      <c r="I94" t="s">
        <v>101</v>
      </c>
      <c r="J94" t="s">
        <v>102</v>
      </c>
    </row>
    <row r="95" spans="1:10" x14ac:dyDescent="0.25">
      <c r="A95" t="s">
        <v>11</v>
      </c>
      <c r="B95" s="1">
        <v>45238</v>
      </c>
      <c r="C95" t="s">
        <v>121</v>
      </c>
      <c r="D95">
        <v>-6</v>
      </c>
      <c r="E95" t="s">
        <v>83</v>
      </c>
      <c r="F95" t="s">
        <v>4</v>
      </c>
      <c r="G95" t="s">
        <v>67</v>
      </c>
      <c r="H95">
        <v>2023</v>
      </c>
      <c r="I95" t="s">
        <v>101</v>
      </c>
      <c r="J95" t="s">
        <v>153</v>
      </c>
    </row>
    <row r="96" spans="1:10" x14ac:dyDescent="0.25">
      <c r="A96" t="s">
        <v>11</v>
      </c>
      <c r="B96" s="1">
        <v>45243</v>
      </c>
      <c r="C96" t="s">
        <v>121</v>
      </c>
      <c r="D96">
        <v>-6</v>
      </c>
      <c r="E96" t="s">
        <v>83</v>
      </c>
      <c r="F96" t="s">
        <v>4</v>
      </c>
      <c r="G96" t="s">
        <v>67</v>
      </c>
      <c r="H96">
        <v>2023</v>
      </c>
      <c r="I96" t="s">
        <v>101</v>
      </c>
      <c r="J96" t="s">
        <v>153</v>
      </c>
    </row>
    <row r="97" spans="1:10" x14ac:dyDescent="0.25">
      <c r="A97" t="s">
        <v>11</v>
      </c>
      <c r="B97" s="1">
        <v>45257</v>
      </c>
      <c r="C97" t="s">
        <v>76</v>
      </c>
      <c r="D97">
        <v>-6</v>
      </c>
      <c r="E97" t="s">
        <v>83</v>
      </c>
      <c r="F97" t="s">
        <v>4</v>
      </c>
      <c r="G97" t="s">
        <v>67</v>
      </c>
      <c r="H97">
        <v>2023</v>
      </c>
      <c r="I97" t="s">
        <v>101</v>
      </c>
      <c r="J97" t="s">
        <v>153</v>
      </c>
    </row>
    <row r="98" spans="1:10" x14ac:dyDescent="0.25">
      <c r="A98" t="s">
        <v>11</v>
      </c>
      <c r="B98" s="1">
        <v>45282</v>
      </c>
      <c r="C98" t="s">
        <v>121</v>
      </c>
      <c r="D98">
        <v>-6</v>
      </c>
      <c r="E98" t="s">
        <v>83</v>
      </c>
      <c r="F98" t="s">
        <v>4</v>
      </c>
      <c r="G98" t="s">
        <v>67</v>
      </c>
      <c r="H98">
        <v>2023</v>
      </c>
      <c r="I98" t="s">
        <v>101</v>
      </c>
      <c r="J98" t="s">
        <v>157</v>
      </c>
    </row>
    <row r="99" spans="1:10" x14ac:dyDescent="0.25">
      <c r="A99" t="s">
        <v>11</v>
      </c>
      <c r="B99" s="1">
        <v>45182</v>
      </c>
      <c r="C99" t="s">
        <v>75</v>
      </c>
      <c r="D99">
        <v>-6</v>
      </c>
      <c r="E99" t="s">
        <v>66</v>
      </c>
      <c r="F99" t="s">
        <v>4</v>
      </c>
      <c r="G99" t="s">
        <v>67</v>
      </c>
      <c r="H99">
        <v>2023</v>
      </c>
      <c r="I99" t="s">
        <v>88</v>
      </c>
      <c r="J99" t="s">
        <v>22</v>
      </c>
    </row>
    <row r="100" spans="1:10" x14ac:dyDescent="0.25">
      <c r="A100" t="s">
        <v>11</v>
      </c>
      <c r="B100" s="1">
        <v>45266</v>
      </c>
      <c r="C100" t="s">
        <v>149</v>
      </c>
      <c r="D100">
        <v>-6</v>
      </c>
      <c r="E100" t="s">
        <v>50</v>
      </c>
      <c r="F100" t="s">
        <v>4</v>
      </c>
      <c r="G100" t="s">
        <v>16</v>
      </c>
      <c r="H100">
        <v>2023</v>
      </c>
      <c r="I100" t="s">
        <v>101</v>
      </c>
      <c r="J100" t="s">
        <v>157</v>
      </c>
    </row>
    <row r="101" spans="1:10" x14ac:dyDescent="0.25">
      <c r="A101" t="s">
        <v>11</v>
      </c>
      <c r="B101" s="1">
        <v>45253</v>
      </c>
      <c r="C101" t="s">
        <v>135</v>
      </c>
      <c r="D101">
        <v>-5.99</v>
      </c>
      <c r="E101" t="s">
        <v>57</v>
      </c>
      <c r="F101" t="s">
        <v>4</v>
      </c>
      <c r="G101" t="s">
        <v>56</v>
      </c>
      <c r="H101">
        <v>2023</v>
      </c>
      <c r="I101" t="s">
        <v>101</v>
      </c>
      <c r="J101" t="s">
        <v>153</v>
      </c>
    </row>
    <row r="102" spans="1:10" x14ac:dyDescent="0.25">
      <c r="A102" t="s">
        <v>11</v>
      </c>
      <c r="B102" s="1">
        <v>45289</v>
      </c>
      <c r="C102" t="s">
        <v>121</v>
      </c>
      <c r="D102">
        <v>-5.5</v>
      </c>
      <c r="E102" t="s">
        <v>83</v>
      </c>
      <c r="F102" t="s">
        <v>4</v>
      </c>
      <c r="G102" t="s">
        <v>67</v>
      </c>
      <c r="H102">
        <v>2023</v>
      </c>
      <c r="I102" t="s">
        <v>101</v>
      </c>
      <c r="J102" t="s">
        <v>157</v>
      </c>
    </row>
    <row r="103" spans="1:10" hidden="1" x14ac:dyDescent="0.25">
      <c r="A103" t="s">
        <v>94</v>
      </c>
      <c r="B103" s="1">
        <v>45187</v>
      </c>
      <c r="C103" t="s">
        <v>97</v>
      </c>
      <c r="D103">
        <v>-5</v>
      </c>
      <c r="E103" t="s">
        <v>83</v>
      </c>
      <c r="F103" t="s">
        <v>4</v>
      </c>
      <c r="G103" t="s">
        <v>67</v>
      </c>
      <c r="H103">
        <v>2023</v>
      </c>
      <c r="I103" t="s">
        <v>88</v>
      </c>
      <c r="J103" t="s">
        <v>22</v>
      </c>
    </row>
    <row r="104" spans="1:10" x14ac:dyDescent="0.25">
      <c r="A104" t="s">
        <v>11</v>
      </c>
      <c r="B104" s="1">
        <v>45201</v>
      </c>
      <c r="C104" t="s">
        <v>75</v>
      </c>
      <c r="D104">
        <v>-5</v>
      </c>
      <c r="E104" t="s">
        <v>83</v>
      </c>
      <c r="F104" t="s">
        <v>4</v>
      </c>
      <c r="G104" t="s">
        <v>67</v>
      </c>
      <c r="H104">
        <v>2023</v>
      </c>
      <c r="I104" t="s">
        <v>101</v>
      </c>
      <c r="J104" t="s">
        <v>102</v>
      </c>
    </row>
    <row r="105" spans="1:10" x14ac:dyDescent="0.25">
      <c r="A105" t="s">
        <v>11</v>
      </c>
      <c r="B105" s="1">
        <v>45217</v>
      </c>
      <c r="C105" t="s">
        <v>116</v>
      </c>
      <c r="D105">
        <v>-5</v>
      </c>
      <c r="E105" t="s">
        <v>83</v>
      </c>
      <c r="F105" t="s">
        <v>4</v>
      </c>
      <c r="G105" t="s">
        <v>67</v>
      </c>
      <c r="H105">
        <v>2023</v>
      </c>
      <c r="I105" t="s">
        <v>101</v>
      </c>
      <c r="J105" t="s">
        <v>102</v>
      </c>
    </row>
    <row r="106" spans="1:10" x14ac:dyDescent="0.25">
      <c r="A106" t="s">
        <v>11</v>
      </c>
      <c r="B106" s="1">
        <v>45222</v>
      </c>
      <c r="C106" t="s">
        <v>125</v>
      </c>
      <c r="D106">
        <v>-5</v>
      </c>
      <c r="E106" t="s">
        <v>83</v>
      </c>
      <c r="F106" t="s">
        <v>4</v>
      </c>
      <c r="G106" t="s">
        <v>67</v>
      </c>
      <c r="H106">
        <v>2023</v>
      </c>
      <c r="I106" t="s">
        <v>101</v>
      </c>
      <c r="J106" t="s">
        <v>102</v>
      </c>
    </row>
    <row r="107" spans="1:10" x14ac:dyDescent="0.25">
      <c r="A107" t="s">
        <v>11</v>
      </c>
      <c r="B107" s="1">
        <v>45230</v>
      </c>
      <c r="C107" t="s">
        <v>121</v>
      </c>
      <c r="D107">
        <v>-5</v>
      </c>
      <c r="E107" t="s">
        <v>83</v>
      </c>
      <c r="F107" t="s">
        <v>4</v>
      </c>
      <c r="G107" t="s">
        <v>67</v>
      </c>
      <c r="H107">
        <v>2023</v>
      </c>
      <c r="I107" t="s">
        <v>101</v>
      </c>
      <c r="J107" t="s">
        <v>102</v>
      </c>
    </row>
    <row r="108" spans="1:10" x14ac:dyDescent="0.25">
      <c r="A108" t="s">
        <v>11</v>
      </c>
      <c r="B108" s="1">
        <v>45230</v>
      </c>
      <c r="C108" t="s">
        <v>121</v>
      </c>
      <c r="D108">
        <v>-5</v>
      </c>
      <c r="E108" t="s">
        <v>83</v>
      </c>
      <c r="F108" t="s">
        <v>4</v>
      </c>
      <c r="G108" t="s">
        <v>67</v>
      </c>
      <c r="H108">
        <v>2023</v>
      </c>
      <c r="I108" t="s">
        <v>101</v>
      </c>
      <c r="J108" t="s">
        <v>102</v>
      </c>
    </row>
    <row r="109" spans="1:10" x14ac:dyDescent="0.25">
      <c r="A109" t="s">
        <v>11</v>
      </c>
      <c r="B109" s="1">
        <v>45237</v>
      </c>
      <c r="C109" t="s">
        <v>121</v>
      </c>
      <c r="D109">
        <v>-5</v>
      </c>
      <c r="E109" t="s">
        <v>83</v>
      </c>
      <c r="F109" t="s">
        <v>4</v>
      </c>
      <c r="G109" t="s">
        <v>67</v>
      </c>
      <c r="H109">
        <v>2023</v>
      </c>
      <c r="I109" t="s">
        <v>101</v>
      </c>
      <c r="J109" t="s">
        <v>153</v>
      </c>
    </row>
    <row r="110" spans="1:10" x14ac:dyDescent="0.25">
      <c r="A110" t="s">
        <v>11</v>
      </c>
      <c r="B110" s="1">
        <v>45180</v>
      </c>
      <c r="C110" t="s">
        <v>52</v>
      </c>
      <c r="D110">
        <v>-5</v>
      </c>
      <c r="E110" t="s">
        <v>66</v>
      </c>
      <c r="F110" t="s">
        <v>4</v>
      </c>
      <c r="G110" t="s">
        <v>67</v>
      </c>
      <c r="H110">
        <v>2023</v>
      </c>
      <c r="I110" t="s">
        <v>88</v>
      </c>
      <c r="J110" t="s">
        <v>22</v>
      </c>
    </row>
    <row r="111" spans="1:10" x14ac:dyDescent="0.25">
      <c r="A111" t="s">
        <v>11</v>
      </c>
      <c r="B111" s="1">
        <v>45181</v>
      </c>
      <c r="C111" t="s">
        <v>75</v>
      </c>
      <c r="D111">
        <v>-5</v>
      </c>
      <c r="E111" t="s">
        <v>66</v>
      </c>
      <c r="F111" t="s">
        <v>4</v>
      </c>
      <c r="G111" t="s">
        <v>67</v>
      </c>
      <c r="H111">
        <v>2023</v>
      </c>
      <c r="I111" t="s">
        <v>88</v>
      </c>
      <c r="J111" t="s">
        <v>22</v>
      </c>
    </row>
    <row r="112" spans="1:10" x14ac:dyDescent="0.25">
      <c r="A112" t="s">
        <v>11</v>
      </c>
      <c r="B112" s="1">
        <v>45254</v>
      </c>
      <c r="C112" t="s">
        <v>135</v>
      </c>
      <c r="D112">
        <v>-4.49</v>
      </c>
      <c r="E112" t="s">
        <v>57</v>
      </c>
      <c r="F112" t="s">
        <v>4</v>
      </c>
      <c r="G112" t="s">
        <v>56</v>
      </c>
      <c r="H112">
        <v>2023</v>
      </c>
      <c r="I112" t="s">
        <v>101</v>
      </c>
      <c r="J112" t="s">
        <v>153</v>
      </c>
    </row>
    <row r="113" spans="1:10" x14ac:dyDescent="0.25">
      <c r="A113" t="s">
        <v>11</v>
      </c>
      <c r="B113" s="1">
        <v>45181</v>
      </c>
      <c r="C113" t="s">
        <v>76</v>
      </c>
      <c r="D113">
        <v>-4</v>
      </c>
      <c r="E113" t="s">
        <v>66</v>
      </c>
      <c r="F113" t="s">
        <v>4</v>
      </c>
      <c r="G113" t="s">
        <v>67</v>
      </c>
      <c r="H113">
        <v>2023</v>
      </c>
      <c r="I113" t="s">
        <v>88</v>
      </c>
      <c r="J113" t="s">
        <v>22</v>
      </c>
    </row>
    <row r="114" spans="1:10" x14ac:dyDescent="0.25">
      <c r="A114" t="s">
        <v>11</v>
      </c>
      <c r="B114" s="1">
        <v>45240</v>
      </c>
      <c r="C114" t="s">
        <v>121</v>
      </c>
      <c r="D114">
        <v>-3</v>
      </c>
      <c r="E114" t="s">
        <v>83</v>
      </c>
      <c r="F114" t="s">
        <v>4</v>
      </c>
      <c r="G114" t="s">
        <v>67</v>
      </c>
      <c r="H114">
        <v>2023</v>
      </c>
      <c r="I114" t="s">
        <v>101</v>
      </c>
      <c r="J114" t="s">
        <v>153</v>
      </c>
    </row>
    <row r="115" spans="1:10" x14ac:dyDescent="0.25">
      <c r="A115" t="s">
        <v>11</v>
      </c>
      <c r="B115" s="1">
        <v>45258</v>
      </c>
      <c r="C115" t="s">
        <v>146</v>
      </c>
      <c r="D115">
        <v>-2.5</v>
      </c>
      <c r="E115" t="s">
        <v>83</v>
      </c>
      <c r="F115" t="s">
        <v>4</v>
      </c>
      <c r="G115" t="s">
        <v>67</v>
      </c>
      <c r="H115">
        <v>2023</v>
      </c>
      <c r="I115" t="s">
        <v>101</v>
      </c>
      <c r="J115" t="s">
        <v>153</v>
      </c>
    </row>
    <row r="116" spans="1:10" x14ac:dyDescent="0.25">
      <c r="A116" t="s">
        <v>11</v>
      </c>
      <c r="B116" s="1">
        <v>45279</v>
      </c>
      <c r="C116" t="s">
        <v>47</v>
      </c>
      <c r="D116">
        <v>-2.5</v>
      </c>
      <c r="E116" t="s">
        <v>83</v>
      </c>
      <c r="F116" t="s">
        <v>4</v>
      </c>
      <c r="G116" t="s">
        <v>67</v>
      </c>
      <c r="H116">
        <v>2023</v>
      </c>
      <c r="I116" t="s">
        <v>101</v>
      </c>
      <c r="J116" t="s">
        <v>157</v>
      </c>
    </row>
    <row r="117" spans="1:10" x14ac:dyDescent="0.25">
      <c r="A117" t="s">
        <v>11</v>
      </c>
      <c r="B117" s="1">
        <v>45191</v>
      </c>
      <c r="C117" t="s">
        <v>75</v>
      </c>
      <c r="D117">
        <v>-2</v>
      </c>
      <c r="E117" t="s">
        <v>81</v>
      </c>
      <c r="F117" t="s">
        <v>4</v>
      </c>
      <c r="G117" t="s">
        <v>82</v>
      </c>
      <c r="H117">
        <v>2023</v>
      </c>
      <c r="I117" t="s">
        <v>88</v>
      </c>
      <c r="J117" t="s">
        <v>22</v>
      </c>
    </row>
    <row r="118" spans="1:10" x14ac:dyDescent="0.25">
      <c r="A118" t="s">
        <v>11</v>
      </c>
      <c r="B118" s="1">
        <v>45246</v>
      </c>
      <c r="C118" t="s">
        <v>138</v>
      </c>
      <c r="D118">
        <v>-2</v>
      </c>
      <c r="E118" t="s">
        <v>83</v>
      </c>
      <c r="F118" t="s">
        <v>4</v>
      </c>
      <c r="G118" t="s">
        <v>67</v>
      </c>
      <c r="H118">
        <v>2023</v>
      </c>
      <c r="I118" t="s">
        <v>101</v>
      </c>
      <c r="J118" t="s">
        <v>153</v>
      </c>
    </row>
    <row r="119" spans="1:10" x14ac:dyDescent="0.25">
      <c r="A119" t="s">
        <v>11</v>
      </c>
      <c r="B119" s="1">
        <v>45240</v>
      </c>
      <c r="C119" t="s">
        <v>137</v>
      </c>
      <c r="D119">
        <v>-2</v>
      </c>
      <c r="E119" t="s">
        <v>50</v>
      </c>
      <c r="F119" t="s">
        <v>4</v>
      </c>
      <c r="G119" t="s">
        <v>16</v>
      </c>
      <c r="H119">
        <v>2023</v>
      </c>
      <c r="I119" t="s">
        <v>101</v>
      </c>
      <c r="J119" t="s">
        <v>153</v>
      </c>
    </row>
    <row r="120" spans="1:10" x14ac:dyDescent="0.25">
      <c r="A120" t="s">
        <v>11</v>
      </c>
      <c r="B120" s="1">
        <v>45288</v>
      </c>
      <c r="C120" t="s">
        <v>152</v>
      </c>
      <c r="D120">
        <v>-2</v>
      </c>
      <c r="E120" t="s">
        <v>50</v>
      </c>
      <c r="F120" t="s">
        <v>4</v>
      </c>
      <c r="G120" t="s">
        <v>16</v>
      </c>
      <c r="H120">
        <v>2023</v>
      </c>
      <c r="I120" t="s">
        <v>101</v>
      </c>
      <c r="J120" t="s">
        <v>157</v>
      </c>
    </row>
    <row r="121" spans="1:10" x14ac:dyDescent="0.25">
      <c r="A121" t="s">
        <v>11</v>
      </c>
      <c r="B121" s="1">
        <v>45250</v>
      </c>
      <c r="C121" t="s">
        <v>85</v>
      </c>
      <c r="D121">
        <v>-1.8</v>
      </c>
      <c r="E121" t="s">
        <v>83</v>
      </c>
      <c r="F121" t="s">
        <v>4</v>
      </c>
      <c r="G121" t="s">
        <v>67</v>
      </c>
      <c r="H121">
        <v>2023</v>
      </c>
      <c r="I121" t="s">
        <v>101</v>
      </c>
      <c r="J121" t="s">
        <v>153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4F9C8-5103-4E42-BB2A-71A09F86E57F}">
  <sheetPr codeName="Planilha2"/>
  <dimension ref="A1:J43"/>
  <sheetViews>
    <sheetView workbookViewId="0">
      <pane xSplit="1" topLeftCell="B1" activePane="topRight" state="frozen"/>
      <selection pane="topRight" activeCell="E3" sqref="E3"/>
    </sheetView>
  </sheetViews>
  <sheetFormatPr defaultRowHeight="15" x14ac:dyDescent="0.25"/>
  <cols>
    <col min="1" max="1" width="25.85546875" customWidth="1"/>
    <col min="2" max="2" width="19.5703125" customWidth="1"/>
    <col min="3" max="3" width="9.85546875" customWidth="1"/>
    <col min="4" max="4" width="10.7109375" customWidth="1"/>
    <col min="6" max="6" width="11.5703125" bestFit="1" customWidth="1"/>
    <col min="7" max="8" width="10.85546875" bestFit="1" customWidth="1"/>
  </cols>
  <sheetData>
    <row r="1" spans="1:10" s="26" customFormat="1" ht="24.75" customHeight="1" x14ac:dyDescent="0.25"/>
    <row r="2" spans="1:10" s="26" customFormat="1" ht="24.75" customHeight="1" x14ac:dyDescent="0.25"/>
    <row r="3" spans="1:10" x14ac:dyDescent="0.25">
      <c r="A3" s="4" t="s">
        <v>23</v>
      </c>
      <c r="B3" s="4" t="s">
        <v>118</v>
      </c>
    </row>
    <row r="4" spans="1:10" x14ac:dyDescent="0.25">
      <c r="B4">
        <v>2023</v>
      </c>
      <c r="F4" t="s">
        <v>21</v>
      </c>
      <c r="G4">
        <v>2014</v>
      </c>
      <c r="H4" t="s">
        <v>162</v>
      </c>
      <c r="I4">
        <v>2024</v>
      </c>
      <c r="J4" t="s">
        <v>160</v>
      </c>
    </row>
    <row r="5" spans="1:10" x14ac:dyDescent="0.25">
      <c r="A5" s="4" t="s">
        <v>117</v>
      </c>
      <c r="B5" t="s">
        <v>22</v>
      </c>
      <c r="C5" t="s">
        <v>102</v>
      </c>
      <c r="D5" t="s">
        <v>153</v>
      </c>
      <c r="E5" t="s">
        <v>157</v>
      </c>
      <c r="G5" t="s">
        <v>157</v>
      </c>
      <c r="I5" t="s">
        <v>157</v>
      </c>
    </row>
    <row r="6" spans="1:10" x14ac:dyDescent="0.25">
      <c r="A6" s="11" t="s">
        <v>14</v>
      </c>
      <c r="B6" s="7">
        <v>1954.99</v>
      </c>
      <c r="C6" s="7">
        <v>2075.4300000000003</v>
      </c>
      <c r="D6" s="7">
        <v>2017.5</v>
      </c>
      <c r="E6" s="7">
        <v>1924.5</v>
      </c>
      <c r="F6" s="7">
        <v>7972.42</v>
      </c>
      <c r="G6" s="7">
        <v>100000</v>
      </c>
      <c r="H6" s="7">
        <v>100000</v>
      </c>
      <c r="I6" s="7"/>
      <c r="J6" s="7"/>
    </row>
    <row r="7" spans="1:10" x14ac:dyDescent="0.25">
      <c r="A7" s="12">
        <v>0</v>
      </c>
      <c r="B7" s="7">
        <v>1954.99</v>
      </c>
      <c r="C7" s="7">
        <v>2055.4300000000003</v>
      </c>
      <c r="D7" s="7">
        <v>2015.5</v>
      </c>
      <c r="E7" s="7">
        <v>1924.5</v>
      </c>
      <c r="F7" s="7">
        <v>7950.42</v>
      </c>
      <c r="G7" s="7">
        <v>100000</v>
      </c>
      <c r="H7" s="7">
        <v>100000</v>
      </c>
      <c r="I7" s="7"/>
      <c r="J7" s="7"/>
    </row>
    <row r="8" spans="1:10" x14ac:dyDescent="0.25">
      <c r="A8" s="13" t="s">
        <v>78</v>
      </c>
      <c r="B8" s="7">
        <v>804</v>
      </c>
      <c r="C8" s="7">
        <v>808.49</v>
      </c>
      <c r="D8" s="7">
        <v>480</v>
      </c>
      <c r="E8" s="7">
        <v>500</v>
      </c>
      <c r="F8" s="7">
        <v>2592.4899999999998</v>
      </c>
      <c r="G8" s="7"/>
      <c r="H8" s="7"/>
      <c r="I8" s="7"/>
      <c r="J8" s="7"/>
    </row>
    <row r="9" spans="1:10" x14ac:dyDescent="0.25">
      <c r="A9" s="13" t="s">
        <v>12</v>
      </c>
      <c r="B9" s="7">
        <v>1150.99</v>
      </c>
      <c r="C9" s="7">
        <v>1246.94</v>
      </c>
      <c r="D9" s="7">
        <v>1535.5</v>
      </c>
      <c r="E9" s="7">
        <v>1424.5</v>
      </c>
      <c r="F9" s="7">
        <v>5357.93</v>
      </c>
      <c r="G9" s="7">
        <v>100000</v>
      </c>
      <c r="H9" s="7">
        <v>100000</v>
      </c>
      <c r="I9" s="7"/>
      <c r="J9" s="7"/>
    </row>
    <row r="10" spans="1:10" x14ac:dyDescent="0.25">
      <c r="A10" s="6" t="s">
        <v>16</v>
      </c>
      <c r="B10" s="7"/>
      <c r="C10" s="7">
        <v>20</v>
      </c>
      <c r="D10" s="7">
        <v>2</v>
      </c>
      <c r="E10" s="7"/>
      <c r="F10" s="7">
        <v>22</v>
      </c>
      <c r="G10" s="7"/>
      <c r="H10" s="7"/>
      <c r="I10" s="7"/>
      <c r="J10" s="7"/>
    </row>
    <row r="11" spans="1:10" x14ac:dyDescent="0.25">
      <c r="A11" s="19" t="s">
        <v>95</v>
      </c>
      <c r="B11" s="7"/>
      <c r="C11" s="7">
        <v>20</v>
      </c>
      <c r="D11" s="7">
        <v>2</v>
      </c>
      <c r="E11" s="7"/>
      <c r="F11" s="7">
        <v>22</v>
      </c>
      <c r="G11" s="7"/>
      <c r="H11" s="7"/>
      <c r="I11" s="7"/>
      <c r="J11" s="7"/>
    </row>
    <row r="12" spans="1:10" x14ac:dyDescent="0.25">
      <c r="A12" s="11" t="s">
        <v>4</v>
      </c>
      <c r="B12" s="7">
        <v>-3214.53</v>
      </c>
      <c r="C12" s="7">
        <v>-4045.5800000000008</v>
      </c>
      <c r="D12" s="7">
        <v>-1491.27</v>
      </c>
      <c r="E12" s="7">
        <v>-1684.38</v>
      </c>
      <c r="F12" s="7">
        <v>-10435.76</v>
      </c>
      <c r="G12" s="7"/>
      <c r="H12" s="7"/>
      <c r="I12" s="7">
        <v>-50000</v>
      </c>
      <c r="J12" s="7">
        <v>-50000</v>
      </c>
    </row>
    <row r="13" spans="1:10" x14ac:dyDescent="0.25">
      <c r="A13" s="12" t="s">
        <v>67</v>
      </c>
      <c r="B13" s="7">
        <v>-113.6</v>
      </c>
      <c r="C13" s="7">
        <v>-282.57</v>
      </c>
      <c r="D13" s="7">
        <v>-104.8</v>
      </c>
      <c r="E13" s="7">
        <v>-200.5</v>
      </c>
      <c r="F13" s="7">
        <v>-701.46999999999991</v>
      </c>
      <c r="G13" s="7"/>
      <c r="H13" s="7"/>
      <c r="I13" s="7"/>
      <c r="J13" s="7"/>
    </row>
    <row r="14" spans="1:10" x14ac:dyDescent="0.25">
      <c r="A14" s="13" t="s">
        <v>83</v>
      </c>
      <c r="B14" s="7">
        <v>-65</v>
      </c>
      <c r="C14" s="7">
        <v>-230.75</v>
      </c>
      <c r="D14" s="7">
        <v>-104.8</v>
      </c>
      <c r="E14" s="7">
        <v>-200.5</v>
      </c>
      <c r="F14" s="7">
        <v>-601.04999999999995</v>
      </c>
      <c r="G14" s="7"/>
      <c r="H14" s="7"/>
      <c r="I14" s="7"/>
      <c r="J14" s="7"/>
    </row>
    <row r="15" spans="1:10" x14ac:dyDescent="0.25">
      <c r="A15" s="13" t="s">
        <v>66</v>
      </c>
      <c r="B15" s="7">
        <v>-20</v>
      </c>
      <c r="C15" s="7"/>
      <c r="D15" s="7"/>
      <c r="E15" s="7"/>
      <c r="F15" s="7">
        <v>-20</v>
      </c>
      <c r="G15" s="7"/>
      <c r="H15" s="7"/>
      <c r="I15" s="7"/>
      <c r="J15" s="7"/>
    </row>
    <row r="16" spans="1:10" x14ac:dyDescent="0.25">
      <c r="A16" s="13" t="s">
        <v>68</v>
      </c>
      <c r="B16" s="7">
        <v>-28.6</v>
      </c>
      <c r="C16" s="7">
        <v>-51.82</v>
      </c>
      <c r="D16" s="7"/>
      <c r="E16" s="7"/>
      <c r="F16" s="7">
        <v>-80.42</v>
      </c>
      <c r="G16" s="7"/>
      <c r="H16" s="7"/>
      <c r="I16" s="7"/>
      <c r="J16" s="7"/>
    </row>
    <row r="17" spans="1:10" x14ac:dyDescent="0.25">
      <c r="A17" s="12" t="s">
        <v>60</v>
      </c>
      <c r="B17" s="7">
        <v>-33.6</v>
      </c>
      <c r="C17" s="7"/>
      <c r="D17" s="7"/>
      <c r="E17" s="7">
        <v>-52</v>
      </c>
      <c r="F17" s="7">
        <v>-85.6</v>
      </c>
      <c r="G17" s="7"/>
      <c r="H17" s="7"/>
      <c r="I17" s="7"/>
      <c r="J17" s="7"/>
    </row>
    <row r="18" spans="1:10" x14ac:dyDescent="0.25">
      <c r="A18" s="13" t="s">
        <v>59</v>
      </c>
      <c r="B18" s="7">
        <v>-33.6</v>
      </c>
      <c r="C18" s="7"/>
      <c r="D18" s="7"/>
      <c r="E18" s="7">
        <v>-52</v>
      </c>
      <c r="F18" s="7">
        <v>-85.6</v>
      </c>
      <c r="G18" s="7"/>
      <c r="H18" s="7"/>
      <c r="I18" s="7"/>
      <c r="J18" s="7"/>
    </row>
    <row r="19" spans="1:10" x14ac:dyDescent="0.25">
      <c r="A19" s="12" t="s">
        <v>82</v>
      </c>
      <c r="B19" s="7">
        <v>-2</v>
      </c>
      <c r="C19" s="7"/>
      <c r="D19" s="7"/>
      <c r="E19" s="7"/>
      <c r="F19" s="7">
        <v>-2</v>
      </c>
      <c r="G19" s="7"/>
      <c r="H19" s="7"/>
      <c r="I19" s="7"/>
      <c r="J19" s="7"/>
    </row>
    <row r="20" spans="1:10" x14ac:dyDescent="0.25">
      <c r="A20" s="13" t="s">
        <v>81</v>
      </c>
      <c r="B20" s="7">
        <v>-2</v>
      </c>
      <c r="C20" s="7"/>
      <c r="D20" s="7"/>
      <c r="E20" s="7"/>
      <c r="F20" s="7">
        <v>-2</v>
      </c>
      <c r="G20" s="7"/>
      <c r="H20" s="7"/>
      <c r="I20" s="7"/>
      <c r="J20" s="7"/>
    </row>
    <row r="21" spans="1:10" x14ac:dyDescent="0.25">
      <c r="A21" s="12" t="s">
        <v>16</v>
      </c>
      <c r="B21" s="7">
        <v>-520</v>
      </c>
      <c r="C21" s="7">
        <v>-2307.0300000000002</v>
      </c>
      <c r="D21" s="7">
        <v>-141.70999999999998</v>
      </c>
      <c r="E21" s="7">
        <v>-68</v>
      </c>
      <c r="F21" s="7">
        <v>-3036.7400000000002</v>
      </c>
      <c r="G21" s="7"/>
      <c r="H21" s="7"/>
      <c r="I21" s="7">
        <v>-50000</v>
      </c>
      <c r="J21" s="7">
        <v>-50000</v>
      </c>
    </row>
    <row r="22" spans="1:10" x14ac:dyDescent="0.25">
      <c r="A22" s="13" t="s">
        <v>54</v>
      </c>
      <c r="B22" s="7">
        <v>-20</v>
      </c>
      <c r="C22" s="7"/>
      <c r="D22" s="7"/>
      <c r="E22" s="7"/>
      <c r="F22" s="7">
        <v>-20</v>
      </c>
      <c r="G22" s="7"/>
      <c r="H22" s="7"/>
      <c r="I22" s="7"/>
      <c r="J22" s="7"/>
    </row>
    <row r="23" spans="1:10" x14ac:dyDescent="0.25">
      <c r="A23" s="13" t="s">
        <v>50</v>
      </c>
      <c r="B23" s="7">
        <v>-500</v>
      </c>
      <c r="C23" s="7">
        <v>-1802.17</v>
      </c>
      <c r="D23" s="7">
        <v>-42</v>
      </c>
      <c r="E23" s="7">
        <v>-18</v>
      </c>
      <c r="F23" s="7">
        <v>-2362.17</v>
      </c>
      <c r="G23" s="7"/>
      <c r="H23" s="7"/>
      <c r="I23" s="7"/>
      <c r="J23" s="7"/>
    </row>
    <row r="24" spans="1:10" x14ac:dyDescent="0.25">
      <c r="A24" s="19" t="s">
        <v>71</v>
      </c>
      <c r="B24" s="7"/>
      <c r="C24" s="7">
        <v>-100</v>
      </c>
      <c r="D24" s="7"/>
      <c r="E24" s="7"/>
      <c r="F24" s="7">
        <v>-100</v>
      </c>
      <c r="G24" s="7"/>
      <c r="H24" s="7"/>
      <c r="I24" s="7"/>
      <c r="J24" s="7"/>
    </row>
    <row r="25" spans="1:10" x14ac:dyDescent="0.25">
      <c r="A25" s="19" t="s">
        <v>72</v>
      </c>
      <c r="B25" s="7"/>
      <c r="C25" s="7">
        <v>-166.86</v>
      </c>
      <c r="D25" s="7"/>
      <c r="E25" s="7"/>
      <c r="F25" s="7">
        <v>-166.86</v>
      </c>
      <c r="G25" s="7"/>
      <c r="H25" s="7"/>
      <c r="I25" s="7">
        <v>-50000</v>
      </c>
      <c r="J25" s="7">
        <v>-50000</v>
      </c>
    </row>
    <row r="26" spans="1:10" x14ac:dyDescent="0.25">
      <c r="A26" s="19" t="s">
        <v>156</v>
      </c>
      <c r="B26" s="7"/>
      <c r="C26" s="7">
        <v>-213</v>
      </c>
      <c r="D26" s="7"/>
      <c r="E26" s="7"/>
      <c r="F26" s="7">
        <v>-213</v>
      </c>
      <c r="G26" s="7"/>
      <c r="H26" s="7"/>
      <c r="I26" s="7"/>
      <c r="J26" s="7"/>
    </row>
    <row r="27" spans="1:10" x14ac:dyDescent="0.25">
      <c r="A27" s="19" t="s">
        <v>53</v>
      </c>
      <c r="B27" s="7"/>
      <c r="C27" s="7">
        <v>-25</v>
      </c>
      <c r="D27" s="7">
        <v>-25</v>
      </c>
      <c r="E27" s="7">
        <v>-50</v>
      </c>
      <c r="F27" s="7">
        <v>-100</v>
      </c>
      <c r="G27" s="7"/>
      <c r="H27" s="7"/>
      <c r="I27" s="7"/>
      <c r="J27" s="7"/>
    </row>
    <row r="28" spans="1:10" x14ac:dyDescent="0.25">
      <c r="A28" s="19" t="s">
        <v>58</v>
      </c>
      <c r="B28" s="7"/>
      <c r="C28" s="7"/>
      <c r="D28" s="7">
        <v>-74.709999999999994</v>
      </c>
      <c r="E28" s="7"/>
      <c r="F28" s="7">
        <v>-74.709999999999994</v>
      </c>
      <c r="G28" s="7"/>
      <c r="H28" s="7"/>
      <c r="I28" s="7"/>
      <c r="J28" s="7"/>
    </row>
    <row r="29" spans="1:10" x14ac:dyDescent="0.25">
      <c r="A29" s="12" t="s">
        <v>15</v>
      </c>
      <c r="B29" s="7">
        <v>-2510.6</v>
      </c>
      <c r="C29" s="7">
        <v>-1142.5999999999999</v>
      </c>
      <c r="D29" s="7">
        <v>-1149.9000000000001</v>
      </c>
      <c r="E29" s="7">
        <v>-1142.29</v>
      </c>
      <c r="F29" s="7">
        <v>-5945.39</v>
      </c>
      <c r="G29" s="7"/>
      <c r="H29" s="7"/>
      <c r="I29" s="7"/>
      <c r="J29" s="7"/>
    </row>
    <row r="30" spans="1:10" x14ac:dyDescent="0.25">
      <c r="A30" s="13" t="s">
        <v>79</v>
      </c>
      <c r="B30" s="7">
        <v>-60.6</v>
      </c>
      <c r="C30" s="7">
        <v>-334.9</v>
      </c>
      <c r="D30" s="7">
        <v>-392.2</v>
      </c>
      <c r="E30" s="7">
        <v>-434.59</v>
      </c>
      <c r="F30" s="7">
        <v>-1222.29</v>
      </c>
      <c r="G30" s="7"/>
      <c r="H30" s="7"/>
      <c r="I30" s="7"/>
      <c r="J30" s="7"/>
    </row>
    <row r="31" spans="1:10" x14ac:dyDescent="0.25">
      <c r="A31" s="13" t="s">
        <v>74</v>
      </c>
      <c r="B31" s="7">
        <v>-2450</v>
      </c>
      <c r="C31" s="7">
        <v>-100</v>
      </c>
      <c r="D31" s="7">
        <v>-50</v>
      </c>
      <c r="E31" s="7"/>
      <c r="F31" s="7">
        <v>-2600</v>
      </c>
      <c r="G31" s="7"/>
      <c r="H31" s="7"/>
      <c r="I31" s="7"/>
      <c r="J31" s="7"/>
    </row>
    <row r="32" spans="1:10" x14ac:dyDescent="0.25">
      <c r="A32" s="19" t="s">
        <v>13</v>
      </c>
      <c r="B32" s="7"/>
      <c r="C32" s="7">
        <v>-707.7</v>
      </c>
      <c r="D32" s="7">
        <v>-707.7</v>
      </c>
      <c r="E32" s="7">
        <v>-707.7</v>
      </c>
      <c r="F32" s="7">
        <v>-2123.1000000000004</v>
      </c>
      <c r="G32" s="7"/>
      <c r="H32" s="7"/>
      <c r="I32" s="7"/>
      <c r="J32" s="7"/>
    </row>
    <row r="33" spans="1:10" x14ac:dyDescent="0.25">
      <c r="A33" s="6" t="s">
        <v>5</v>
      </c>
      <c r="B33" s="7">
        <v>-34.729999999999997</v>
      </c>
      <c r="C33" s="7">
        <v>-231.09</v>
      </c>
      <c r="D33" s="7">
        <v>-50</v>
      </c>
      <c r="E33" s="7">
        <v>-100</v>
      </c>
      <c r="F33" s="7">
        <v>-415.82000000000005</v>
      </c>
      <c r="G33" s="7"/>
      <c r="H33" s="7"/>
      <c r="I33" s="7"/>
      <c r="J33" s="7"/>
    </row>
    <row r="34" spans="1:10" x14ac:dyDescent="0.25">
      <c r="A34" s="19" t="s">
        <v>63</v>
      </c>
      <c r="B34" s="7">
        <v>-34.729999999999997</v>
      </c>
      <c r="C34" s="7"/>
      <c r="D34" s="7"/>
      <c r="E34" s="7"/>
      <c r="F34" s="7">
        <v>-34.729999999999997</v>
      </c>
      <c r="G34" s="7"/>
      <c r="H34" s="7"/>
      <c r="I34" s="7"/>
      <c r="J34" s="7"/>
    </row>
    <row r="35" spans="1:10" x14ac:dyDescent="0.25">
      <c r="A35" s="19" t="s">
        <v>3</v>
      </c>
      <c r="B35" s="7"/>
      <c r="C35" s="7">
        <v>-80</v>
      </c>
      <c r="D35" s="7">
        <v>-50</v>
      </c>
      <c r="E35" s="7">
        <v>-100</v>
      </c>
      <c r="F35" s="7">
        <v>-230</v>
      </c>
      <c r="G35" s="7"/>
      <c r="H35" s="7"/>
      <c r="I35" s="7"/>
      <c r="J35" s="7"/>
    </row>
    <row r="36" spans="1:10" x14ac:dyDescent="0.25">
      <c r="A36" s="19" t="s">
        <v>62</v>
      </c>
      <c r="B36" s="7"/>
      <c r="C36" s="7">
        <v>-151.09</v>
      </c>
      <c r="D36" s="7"/>
      <c r="E36" s="7"/>
      <c r="F36" s="7">
        <v>-151.09</v>
      </c>
      <c r="G36" s="7"/>
      <c r="H36" s="7"/>
      <c r="I36" s="7"/>
      <c r="J36" s="7"/>
    </row>
    <row r="37" spans="1:10" x14ac:dyDescent="0.25">
      <c r="A37" s="6" t="s">
        <v>107</v>
      </c>
      <c r="B37" s="7"/>
      <c r="C37" s="7">
        <v>-52.5</v>
      </c>
      <c r="D37" s="7"/>
      <c r="E37" s="7"/>
      <c r="F37" s="7">
        <v>-52.5</v>
      </c>
      <c r="G37" s="7"/>
      <c r="H37" s="7"/>
      <c r="I37" s="7"/>
      <c r="J37" s="7"/>
    </row>
    <row r="38" spans="1:10" x14ac:dyDescent="0.25">
      <c r="A38" s="19" t="s">
        <v>108</v>
      </c>
      <c r="B38" s="7"/>
      <c r="C38" s="7">
        <v>-52.5</v>
      </c>
      <c r="D38" s="7"/>
      <c r="E38" s="7"/>
      <c r="F38" s="7">
        <v>-52.5</v>
      </c>
      <c r="G38" s="7"/>
      <c r="H38" s="7"/>
      <c r="I38" s="7"/>
      <c r="J38" s="7"/>
    </row>
    <row r="39" spans="1:10" x14ac:dyDescent="0.25">
      <c r="A39" s="6" t="s">
        <v>56</v>
      </c>
      <c r="B39" s="7"/>
      <c r="C39" s="7">
        <v>-29.79</v>
      </c>
      <c r="D39" s="7">
        <v>-44.86</v>
      </c>
      <c r="E39" s="7">
        <v>-71.69</v>
      </c>
      <c r="F39" s="7">
        <v>-146.34</v>
      </c>
      <c r="G39" s="7"/>
      <c r="H39" s="7"/>
      <c r="I39" s="7"/>
      <c r="J39" s="7"/>
    </row>
    <row r="40" spans="1:10" x14ac:dyDescent="0.25">
      <c r="A40" s="19" t="s">
        <v>57</v>
      </c>
      <c r="B40" s="7"/>
      <c r="C40" s="7">
        <v>-29.79</v>
      </c>
      <c r="D40" s="7">
        <v>-44.86</v>
      </c>
      <c r="E40" s="7">
        <v>-71.69</v>
      </c>
      <c r="F40" s="7">
        <v>-146.34</v>
      </c>
      <c r="G40" s="7"/>
      <c r="H40" s="7"/>
      <c r="I40" s="7"/>
      <c r="J40" s="7"/>
    </row>
    <row r="41" spans="1:10" x14ac:dyDescent="0.25">
      <c r="A41" s="6" t="s">
        <v>155</v>
      </c>
      <c r="B41" s="7"/>
      <c r="C41" s="7"/>
      <c r="D41" s="7"/>
      <c r="E41" s="7">
        <v>-49.9</v>
      </c>
      <c r="F41" s="7">
        <v>-49.9</v>
      </c>
      <c r="G41" s="7"/>
      <c r="H41" s="7"/>
      <c r="I41" s="7"/>
      <c r="J41" s="7"/>
    </row>
    <row r="42" spans="1:10" x14ac:dyDescent="0.25">
      <c r="A42" s="19" t="s">
        <v>154</v>
      </c>
      <c r="B42" s="7"/>
      <c r="C42" s="7"/>
      <c r="D42" s="7"/>
      <c r="E42" s="7">
        <v>-49.9</v>
      </c>
      <c r="F42" s="7">
        <v>-49.9</v>
      </c>
      <c r="G42" s="7"/>
      <c r="H42" s="7"/>
      <c r="I42" s="7"/>
      <c r="J42" s="7"/>
    </row>
    <row r="43" spans="1:10" x14ac:dyDescent="0.25">
      <c r="A43" s="11" t="s">
        <v>119</v>
      </c>
      <c r="B43" s="7">
        <v>-1259.5399999999997</v>
      </c>
      <c r="C43" s="7">
        <v>-1970.1499999999996</v>
      </c>
      <c r="D43" s="7">
        <v>526.2299999999999</v>
      </c>
      <c r="E43" s="7">
        <v>240.12000000000003</v>
      </c>
      <c r="F43" s="7">
        <v>-2463.3400000000011</v>
      </c>
      <c r="G43" s="7">
        <v>100000</v>
      </c>
      <c r="H43" s="7">
        <v>100000</v>
      </c>
      <c r="I43" s="7">
        <v>-50000</v>
      </c>
      <c r="J43" s="7">
        <v>-50000</v>
      </c>
    </row>
  </sheetData>
  <mergeCells count="1">
    <mergeCell ref="A1:XFD2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7817-25A2-44FD-AA83-2742B654478D}">
  <sheetPr codeName="Planilha5"/>
  <dimension ref="A1"/>
  <sheetViews>
    <sheetView showGridLines="0" showRowColHeaders="0" zoomScaleNormal="100" zoomScalePageLayoutView="85" workbookViewId="0">
      <selection activeCell="M2" sqref="M2"/>
    </sheetView>
  </sheetViews>
  <sheetFormatPr defaultRowHeight="15" x14ac:dyDescent="0.25"/>
  <cols>
    <col min="1" max="16384" width="9.140625" style="20"/>
  </cols>
  <sheetData/>
  <pageMargins left="0.511811024" right="0.511811024" top="0.78740157499999996" bottom="0.78740157499999996" header="0.31496062000000002" footer="0.31496062000000002"/>
  <pageSetup paperSize="9" scale="55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Tabelas</vt:lpstr>
      <vt:lpstr>Lista</vt:lpstr>
      <vt:lpstr>Extrato</vt:lpstr>
      <vt:lpstr>Detail1</vt:lpstr>
      <vt:lpstr>Detail2</vt:lpstr>
      <vt:lpstr>Análise</vt:lpstr>
      <vt:lpstr>Painel</vt:lpstr>
      <vt:lpstr>DESCRICAO</vt:lpstr>
      <vt:lpstr>DESCRIÇÃO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De Oliveira</dc:creator>
  <cp:lastModifiedBy>Julio Oliveira</cp:lastModifiedBy>
  <dcterms:created xsi:type="dcterms:W3CDTF">2023-09-24T19:13:17Z</dcterms:created>
  <dcterms:modified xsi:type="dcterms:W3CDTF">2024-12-11T16:19:05Z</dcterms:modified>
</cp:coreProperties>
</file>